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val_000\Documents\GitHub\fear-of-childbirth\data\shared\derived\FPM\"/>
    </mc:Choice>
  </mc:AlternateContent>
  <bookViews>
    <workbookView xWindow="0" yWindow="0" windowWidth="28800" windowHeight="11475" activeTab="1"/>
  </bookViews>
  <sheets>
    <sheet name="oblimin" sheetId="12" r:id="rId1"/>
    <sheet name="oblimin-10" sheetId="13" r:id="rId2"/>
    <sheet name="oblimin-9" sheetId="5" r:id="rId3"/>
    <sheet name="oblimin-8" sheetId="6" r:id="rId4"/>
    <sheet name="oblimin-7" sheetId="7" r:id="rId5"/>
    <sheet name="oblimin-6" sheetId="8" r:id="rId6"/>
    <sheet name="oblimin-5" sheetId="9" r:id="rId7"/>
    <sheet name="oblimin-4" sheetId="10" r:id="rId8"/>
  </sheets>
  <definedNames>
    <definedName name="oblimin_10" localSheetId="0">oblimin!$A$1:$J$50</definedName>
    <definedName name="oblimin_10" localSheetId="1">'oblimin-10'!$A$1:$J$50</definedName>
    <definedName name="oblimin_10" localSheetId="7">'oblimin-4'!$A$1:$D$50</definedName>
    <definedName name="oblimin_10" localSheetId="6">'oblimin-5'!$A$1:$E$50</definedName>
    <definedName name="oblimin_10" localSheetId="5">'oblimin-6'!$A$1:$F$50</definedName>
    <definedName name="oblimin_10" localSheetId="4">'oblimin-7'!$A$1:$G$50</definedName>
    <definedName name="oblimin_10" localSheetId="3">'oblimin-8'!$A$1:$H$50</definedName>
    <definedName name="oblimin_10" localSheetId="2">'oblimin-9'!$A$1:$I$50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3" l="1"/>
  <c r="O2" i="10"/>
  <c r="O3" i="10" s="1"/>
  <c r="O4" i="10" s="1"/>
  <c r="O2" i="9"/>
  <c r="O3" i="9" s="1"/>
  <c r="O4" i="9" s="1"/>
  <c r="O2" i="8"/>
  <c r="O3" i="8" s="1"/>
  <c r="O4" i="8" s="1"/>
  <c r="O2" i="7"/>
  <c r="O3" i="7" s="1"/>
  <c r="O4" i="7" s="1"/>
  <c r="O2" i="6"/>
  <c r="O3" i="6" s="1"/>
  <c r="O4" i="6" s="1"/>
  <c r="O2" i="5"/>
  <c r="O3" i="5" s="1"/>
  <c r="O4" i="5" s="1"/>
  <c r="O3" i="13"/>
  <c r="O4" i="13" s="1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L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O3" i="12"/>
  <c r="O4" i="12" s="1"/>
</calcChain>
</file>

<file path=xl/connections.xml><?xml version="1.0" encoding="utf-8"?>
<connections xmlns="http://schemas.openxmlformats.org/spreadsheetml/2006/main">
  <connection id="1" name="oblimin_101" type="6" refreshedVersion="5" background="1" refreshOnLoad="1" saveData="1">
    <textPr prompt="0" codePage="437" sourceFile="C:\Users\koval_000\Documents\GitHub\fear-of-childbirth\data\shared\derived\FPM\oblimin_9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oblimin_1011" type="6" refreshedVersion="5" background="1" refreshOnLoad="1" saveData="1">
    <textPr prompt="0" codePage="437" sourceFile="C:\Users\koval_000\Documents\GitHub\fear-of-childbirth\data\shared\derived\FPM\oblimin_8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oblimin_10111" type="6" refreshedVersion="5" background="1" refreshOnLoad="1" saveData="1">
    <textPr prompt="0" codePage="437" sourceFile="C:\Users\koval_000\Documents\GitHub\fear-of-childbirth\data\shared\derived\FPM\oblimin_7.csv" comma="1">
      <textFields count="7">
        <textField/>
        <textField/>
        <textField/>
        <textField/>
        <textField/>
        <textField/>
        <textField/>
      </textFields>
    </textPr>
  </connection>
  <connection id="4" name="oblimin_101111" type="6" refreshedVersion="5" background="1" refreshOnLoad="1" saveData="1">
    <textPr prompt="0" codePage="437" sourceFile="C:\Users\koval_000\Documents\GitHub\fear-of-childbirth\data\shared\derived\FPM\oblimin_6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" name="oblimin_1011111" type="6" refreshedVersion="5" background="1" refreshOnLoad="1" saveData="1">
    <textPr prompt="0" codePage="437" sourceFile="C:\Users\koval_000\Documents\GitHub\fear-of-childbirth\data\shared\derived\FPM\oblimin_5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" name="oblimin_10111111" type="6" refreshedVersion="5" background="1" refreshOnLoad="1" saveData="1">
    <textPr prompt="0" codePage="437" sourceFile="C:\Users\koval_000\Documents\GitHub\fear-of-childbirth\data\shared\derived\FPM\oblimin_4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" name="oblimin_1012" type="6" refreshedVersion="5" background="1" refreshOnLoad="1" saveData="1">
    <textPr prompt="0" codePage="437" sourceFile="C:\Users\koval_000\Documents\GitHub\fear-of-childbirth\data\shared\derived\FPM\oblimin_10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" name="oblimin_102" type="6" refreshedVersion="5" background="1" refreshOnLoad="1" saveData="1">
    <textPr prompt="0" codePage="437" sourceFile="C:\Users\koval_000\Documents\GitHub\fear-of-childbirth\data\shared\derived\FPM\oblimin_10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<sst xmlns="http://schemas.openxmlformats.org/spreadsheetml/2006/main" count="483" uniqueCount="63">
  <si>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</si>
  <si>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</si>
  <si>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</si>
  <si>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</si>
  <si>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</si>
  <si>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</si>
  <si>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</si>
  <si>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</si>
  <si>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</si>
  <si>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</si>
  <si>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top</t>
  </si>
  <si>
    <t>bottom</t>
  </si>
  <si>
    <t>foc_01</t>
  </si>
  <si>
    <t>foc_02</t>
  </si>
  <si>
    <t>foc_09</t>
  </si>
  <si>
    <t>foc_10</t>
  </si>
  <si>
    <t>foc_31</t>
  </si>
  <si>
    <t>foc_03</t>
  </si>
  <si>
    <t>foc_04</t>
  </si>
  <si>
    <t>foc_05</t>
  </si>
  <si>
    <t>foc_38</t>
  </si>
  <si>
    <t>foc_27</t>
  </si>
  <si>
    <t>foc_06</t>
  </si>
  <si>
    <t>foc_32</t>
  </si>
  <si>
    <t>foc_11</t>
  </si>
  <si>
    <t>foc_29</t>
  </si>
  <si>
    <t>foc_15</t>
  </si>
  <si>
    <t>foc_19</t>
  </si>
  <si>
    <t>foc_13</t>
  </si>
  <si>
    <t>foc_42</t>
  </si>
  <si>
    <t>foc_25</t>
  </si>
  <si>
    <t>foc_26</t>
  </si>
  <si>
    <t>foc_47</t>
  </si>
  <si>
    <t>foc_18</t>
  </si>
  <si>
    <t>foc_07</t>
  </si>
  <si>
    <t>foc_16</t>
  </si>
  <si>
    <t>foc_35</t>
  </si>
  <si>
    <t>foc_08</t>
  </si>
  <si>
    <t>foc_12</t>
  </si>
  <si>
    <t>foc_14</t>
  </si>
  <si>
    <t>foc_17</t>
  </si>
  <si>
    <t>foc_20</t>
  </si>
  <si>
    <t>foc_21</t>
  </si>
  <si>
    <t>foc_22</t>
  </si>
  <si>
    <t>foc_23</t>
  </si>
  <si>
    <t>foc_24</t>
  </si>
  <si>
    <t>foc_28</t>
  </si>
  <si>
    <t>foc_30</t>
  </si>
  <si>
    <t>foc_33</t>
  </si>
  <si>
    <t>foc_34</t>
  </si>
  <si>
    <t>foc_36</t>
  </si>
  <si>
    <t>foc_37</t>
  </si>
  <si>
    <t>foc_39</t>
  </si>
  <si>
    <t>foc_40</t>
  </si>
  <si>
    <t>foc_41</t>
  </si>
  <si>
    <t>foc_43</t>
  </si>
  <si>
    <t>foc_44</t>
  </si>
  <si>
    <t>foc_45</t>
  </si>
  <si>
    <t>foc_46</t>
  </si>
  <si>
    <t>foc_48</t>
  </si>
  <si>
    <t>foc_49</t>
  </si>
  <si>
    <t>max</t>
  </si>
  <si>
    <t>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</si>
</sst>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</cellXfs>
  <cellStyles count="1">
    <cellStyle name="Normal" xfId="0" builtinId="0"/>
  </cellStyles>
  <dxfs count="93"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B38CDE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</dxfs>
  <tableStyles count="0" defaultTableStyle="TableStyleMedium2" defaultPivotStyle="PivotStyleLight16"/>
  <colors>
    <mruColors>
      <color rgb="FFFF3300"/>
      <color rgb="FFB38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oblimin_10" refreshOnLoad="1" connectionId="8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oblimin_10" refreshOnLoad="1" connectionId="7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oblimin_10" refreshOnLoad="1" connectionId="1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oblimin_10" refreshOnLoad="1" connectionId="2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oblimin_10" refreshOnLoad="1" connectionId="3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oblimin_10" refreshOnLoad="1" connectionId="4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oblimin_10" refreshOnLoad="1" connectionId="5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oblimin_10" refreshOnLoad="1" connectionId="6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zoomScale="85" zoomScaleNormal="85" workbookViewId="0">
      <selection activeCell="O3" sqref="O3"/>
    </sheetView>
  </sheetViews>
  <sheetFormatPr defaultRowHeight="15" x14ac:dyDescent="0.25"/>
  <cols>
    <col min="1" max="10" width="7" style="1" customWidth="1"/>
    <col min="11" max="11" width="11.5703125" style="3" customWidth="1"/>
    <col min="12" max="12" width="6" style="1" customWidth="1"/>
    <col min="13" max="14" width="9.140625" style="1"/>
    <col min="15" max="15" width="7.7109375" style="1" bestFit="1" customWidth="1"/>
    <col min="16" max="16" width="5.85546875" style="1" bestFit="1" customWidth="1"/>
    <col min="17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61</v>
      </c>
    </row>
    <row r="2" spans="1:15" x14ac:dyDescent="0.25">
      <c r="A2" s="2">
        <v>7.1308816431491506E-2</v>
      </c>
      <c r="B2" s="2">
        <v>6.6550879813573002E-4</v>
      </c>
      <c r="C2" s="2">
        <v>0.10231090043772099</v>
      </c>
      <c r="D2" s="2">
        <v>-0.14255643079285599</v>
      </c>
      <c r="E2" s="2">
        <v>0.45682661766414101</v>
      </c>
      <c r="F2" s="2">
        <v>7.5189854665179398E-2</v>
      </c>
      <c r="G2" s="2">
        <v>3.1602770315085599E-2</v>
      </c>
      <c r="H2" s="2">
        <v>1.0964681891908299E-2</v>
      </c>
      <c r="I2" s="2">
        <v>-0.143148383960158</v>
      </c>
      <c r="J2" s="2">
        <v>2.37448499676726E-2</v>
      </c>
      <c r="K2" s="4" t="s">
        <v>12</v>
      </c>
      <c r="L2" s="2">
        <f>MAX(ABS(A2),ABS(B2),ABS(C2),ABS(D2),ABS(E2),ABS(F2),ABS(G2), ABS(H2), ABS(I2), ABS(J2))</f>
        <v>0.45682661766414101</v>
      </c>
      <c r="N2" s="1" t="s">
        <v>62</v>
      </c>
      <c r="O2" s="1">
        <v>0.25</v>
      </c>
    </row>
    <row r="3" spans="1:15" x14ac:dyDescent="0.25">
      <c r="A3" s="2">
        <v>-1.2326085545538599E-2</v>
      </c>
      <c r="B3" s="2">
        <v>-2.5468905340521298E-4</v>
      </c>
      <c r="C3" s="2">
        <v>-1.7785117702440598E-2</v>
      </c>
      <c r="D3" s="2">
        <v>-4.5320349806373401E-2</v>
      </c>
      <c r="E3" s="2">
        <v>0.77815461458273905</v>
      </c>
      <c r="F3" s="2">
        <v>5.32371592576397E-2</v>
      </c>
      <c r="G3" s="2">
        <v>-2.2952857595472001E-3</v>
      </c>
      <c r="H3" s="2">
        <v>1.5442587096588301E-2</v>
      </c>
      <c r="I3" s="2">
        <v>5.2862924458149198E-2</v>
      </c>
      <c r="J3" s="2">
        <v>-2.8850907578363598E-4</v>
      </c>
      <c r="K3" s="4" t="s">
        <v>13</v>
      </c>
      <c r="L3" s="2">
        <f t="shared" ref="L3:L50" si="0">MAX(ABS(A3),ABS(B3),ABS(C3),ABS(D3),ABS(E3),ABS(F3),ABS(G3), ABS(H3), ABS(I3), ABS(J3))</f>
        <v>0.77815461458273905</v>
      </c>
      <c r="N3" s="1" t="s">
        <v>10</v>
      </c>
      <c r="O3" s="1">
        <f>O2</f>
        <v>0.25</v>
      </c>
    </row>
    <row r="4" spans="1:15" x14ac:dyDescent="0.25">
      <c r="A4" s="2">
        <v>6.8630388725377703E-2</v>
      </c>
      <c r="B4" s="2">
        <v>3.9714384677827202E-2</v>
      </c>
      <c r="C4" s="2">
        <v>6.2426024557714697E-2</v>
      </c>
      <c r="D4" s="2">
        <v>-0.14455096655142299</v>
      </c>
      <c r="E4" s="2">
        <v>0.67780948742454505</v>
      </c>
      <c r="F4" s="2">
        <v>1.28070233310169E-3</v>
      </c>
      <c r="G4" s="2">
        <v>7.2163628325776899E-2</v>
      </c>
      <c r="H4" s="2">
        <v>-9.0084162776580198E-2</v>
      </c>
      <c r="I4" s="2">
        <v>6.2652994660814896E-3</v>
      </c>
      <c r="J4" s="2">
        <v>-7.9348747968181199E-2</v>
      </c>
      <c r="K4" s="4" t="s">
        <v>17</v>
      </c>
      <c r="L4" s="2">
        <f t="shared" si="0"/>
        <v>0.67780948742454505</v>
      </c>
      <c r="N4" s="1" t="s">
        <v>11</v>
      </c>
      <c r="O4" s="1">
        <f>O3*-1</f>
        <v>-0.25</v>
      </c>
    </row>
    <row r="5" spans="1:15" x14ac:dyDescent="0.25">
      <c r="A5" s="2">
        <v>4.46117452289821E-3</v>
      </c>
      <c r="B5" s="2">
        <v>-6.01528848956734E-2</v>
      </c>
      <c r="C5" s="2">
        <v>6.9113418991357006E-2</v>
      </c>
      <c r="D5" s="2">
        <v>-8.3467635182353801E-3</v>
      </c>
      <c r="E5" s="2">
        <v>0.78099333313108499</v>
      </c>
      <c r="F5" s="2">
        <v>-2.1793222462392701E-2</v>
      </c>
      <c r="G5" s="2">
        <v>2.8857773808526301E-2</v>
      </c>
      <c r="H5" s="2">
        <v>-1.54942909624615E-2</v>
      </c>
      <c r="I5" s="2">
        <v>2.2432420689765201E-2</v>
      </c>
      <c r="J5" s="2">
        <v>2.9417176206831E-2</v>
      </c>
      <c r="K5" s="4" t="s">
        <v>18</v>
      </c>
      <c r="L5" s="2">
        <f t="shared" si="0"/>
        <v>0.78099333313108499</v>
      </c>
    </row>
    <row r="6" spans="1:15" x14ac:dyDescent="0.25">
      <c r="A6" s="2">
        <v>0.13064572549693099</v>
      </c>
      <c r="B6" s="2">
        <v>0.23143932757284399</v>
      </c>
      <c r="C6" s="2">
        <v>0.18507918883448801</v>
      </c>
      <c r="D6" s="2">
        <v>-0.113289704363762</v>
      </c>
      <c r="E6" s="2">
        <v>0.33920872234376098</v>
      </c>
      <c r="F6" s="2">
        <v>2.5986974375097099E-2</v>
      </c>
      <c r="G6" s="2">
        <v>3.3417325858472298E-2</v>
      </c>
      <c r="H6" s="2">
        <v>-9.9671904897345107E-2</v>
      </c>
      <c r="I6" s="2">
        <v>-4.6538890140617697E-2</v>
      </c>
      <c r="J6" s="2">
        <v>-1.6604784841868399E-2</v>
      </c>
      <c r="K6" s="4" t="s">
        <v>19</v>
      </c>
      <c r="L6" s="2">
        <f t="shared" si="0"/>
        <v>0.33920872234376098</v>
      </c>
    </row>
    <row r="7" spans="1:15" x14ac:dyDescent="0.25">
      <c r="A7" s="2">
        <v>-4.1789586703146898E-2</v>
      </c>
      <c r="B7" s="2">
        <v>1.63569620741905E-2</v>
      </c>
      <c r="C7" s="2">
        <v>-8.5148332277493993E-2</v>
      </c>
      <c r="D7" s="2">
        <v>8.6145601323029605E-2</v>
      </c>
      <c r="E7" s="2">
        <v>0.55429631513973998</v>
      </c>
      <c r="F7" s="2">
        <v>3.95470333406868E-2</v>
      </c>
      <c r="G7" s="2">
        <v>7.5981985017581901E-3</v>
      </c>
      <c r="H7" s="2">
        <v>0.30642802929037199</v>
      </c>
      <c r="I7" s="2">
        <v>9.4236766192038607E-3</v>
      </c>
      <c r="J7" s="2">
        <v>0.117564971682712</v>
      </c>
      <c r="K7" s="4" t="s">
        <v>22</v>
      </c>
      <c r="L7" s="2">
        <f t="shared" si="0"/>
        <v>0.55429631513973998</v>
      </c>
    </row>
    <row r="8" spans="1:15" x14ac:dyDescent="0.25">
      <c r="A8" s="2">
        <v>1.9806924287642799E-2</v>
      </c>
      <c r="B8" s="2">
        <v>1.3905601433953901E-2</v>
      </c>
      <c r="C8" s="2">
        <v>0.95690953253479905</v>
      </c>
      <c r="D8" s="2">
        <v>-1.5130955005035401E-2</v>
      </c>
      <c r="E8" s="2">
        <v>-9.9733860159330703E-4</v>
      </c>
      <c r="F8" s="2">
        <v>-6.1114282033456799E-2</v>
      </c>
      <c r="G8" s="2">
        <v>1.51097889041483E-2</v>
      </c>
      <c r="H8" s="2">
        <v>2.7738722453631799E-2</v>
      </c>
      <c r="I8" s="2">
        <v>5.7351653692182701E-3</v>
      </c>
      <c r="J8" s="2">
        <v>2.5513431565001702E-3</v>
      </c>
      <c r="K8" s="4" t="s">
        <v>34</v>
      </c>
      <c r="L8" s="2">
        <f t="shared" si="0"/>
        <v>0.95690953253479905</v>
      </c>
    </row>
    <row r="9" spans="1:15" x14ac:dyDescent="0.25">
      <c r="A9" s="2">
        <v>1.28775649591588E-2</v>
      </c>
      <c r="B9" s="2">
        <v>-2.25267333577364E-2</v>
      </c>
      <c r="C9" s="2">
        <v>0.80038354943578505</v>
      </c>
      <c r="D9" s="2">
        <v>1.07174824025697E-2</v>
      </c>
      <c r="E9" s="2">
        <v>5.0242521038176301E-2</v>
      </c>
      <c r="F9" s="2">
        <v>0.116966241904428</v>
      </c>
      <c r="G9" s="2">
        <v>1.37186585894939E-2</v>
      </c>
      <c r="H9" s="2">
        <v>-2.8417066158772701E-2</v>
      </c>
      <c r="I9" s="2">
        <v>1.44429265784155E-2</v>
      </c>
      <c r="J9" s="2">
        <v>3.6088298991435799E-2</v>
      </c>
      <c r="K9" s="4" t="s">
        <v>37</v>
      </c>
      <c r="L9" s="2">
        <f t="shared" si="0"/>
        <v>0.80038354943578505</v>
      </c>
    </row>
    <row r="10" spans="1:15" x14ac:dyDescent="0.25">
      <c r="A10" s="2">
        <v>-1.6024366312763799E-2</v>
      </c>
      <c r="B10" s="2">
        <v>0.16903697785057201</v>
      </c>
      <c r="C10" s="2">
        <v>0.11122298346480999</v>
      </c>
      <c r="D10" s="2">
        <v>6.4389368634312105E-2</v>
      </c>
      <c r="E10" s="2">
        <v>-2.88252091777936E-2</v>
      </c>
      <c r="F10" s="2">
        <v>1.83132043451797E-2</v>
      </c>
      <c r="G10" s="2">
        <v>0.124120541265478</v>
      </c>
      <c r="H10" s="2">
        <v>0.53757112338739099</v>
      </c>
      <c r="I10" s="2">
        <v>8.4664655590598298E-2</v>
      </c>
      <c r="J10" s="2">
        <v>0.12997358991805399</v>
      </c>
      <c r="K10" s="4" t="s">
        <v>14</v>
      </c>
      <c r="L10" s="2">
        <f t="shared" si="0"/>
        <v>0.53757112338739099</v>
      </c>
    </row>
    <row r="11" spans="1:15" x14ac:dyDescent="0.25">
      <c r="A11" s="2">
        <v>2.1002772129242401E-2</v>
      </c>
      <c r="B11" s="2">
        <v>3.5539616225905E-3</v>
      </c>
      <c r="C11" s="2">
        <v>0.97333103388008801</v>
      </c>
      <c r="D11" s="2">
        <v>-1.85442931937113E-2</v>
      </c>
      <c r="E11" s="2">
        <v>-2.1055560201116999E-2</v>
      </c>
      <c r="F11" s="2">
        <v>-2.7704729791669599E-2</v>
      </c>
      <c r="G11" s="2">
        <v>2.56597705393307E-2</v>
      </c>
      <c r="H11" s="2">
        <v>3.31626521798754E-2</v>
      </c>
      <c r="I11" s="2">
        <v>-5.5178623374853601E-3</v>
      </c>
      <c r="J11" s="2">
        <v>-4.15939296574481E-4</v>
      </c>
      <c r="K11" s="4" t="s">
        <v>15</v>
      </c>
      <c r="L11" s="2">
        <f t="shared" si="0"/>
        <v>0.97333103388008801</v>
      </c>
    </row>
    <row r="12" spans="1:15" x14ac:dyDescent="0.25">
      <c r="A12" s="2">
        <v>9.8343213940594795E-4</v>
      </c>
      <c r="B12" s="2">
        <v>-5.71358301314268E-3</v>
      </c>
      <c r="C12" s="2">
        <v>0.83409598059306</v>
      </c>
      <c r="D12" s="2">
        <v>-1.4022131625479399E-2</v>
      </c>
      <c r="E12" s="2">
        <v>4.0009724361123801E-2</v>
      </c>
      <c r="F12" s="2">
        <v>8.55016930181412E-2</v>
      </c>
      <c r="G12" s="2">
        <v>1.17810284613502E-2</v>
      </c>
      <c r="H12" s="2">
        <v>-3.7776131905789302E-2</v>
      </c>
      <c r="I12" s="2">
        <v>3.10081280064229E-2</v>
      </c>
      <c r="J12" s="2">
        <v>-2.12716282645313E-2</v>
      </c>
      <c r="K12" s="4" t="s">
        <v>24</v>
      </c>
      <c r="L12" s="2">
        <f t="shared" si="0"/>
        <v>0.83409598059306</v>
      </c>
    </row>
    <row r="13" spans="1:15" x14ac:dyDescent="0.25">
      <c r="A13" s="2">
        <v>4.65655653061832E-2</v>
      </c>
      <c r="B13" s="2">
        <v>2.2203639313923301E-2</v>
      </c>
      <c r="C13" s="2">
        <v>0.102154449114863</v>
      </c>
      <c r="D13" s="2">
        <v>-5.7677973373509502E-2</v>
      </c>
      <c r="E13" s="2">
        <v>6.7741847970537603E-2</v>
      </c>
      <c r="F13" s="2">
        <v>1.10504150990224E-3</v>
      </c>
      <c r="G13" s="2">
        <v>0.77206944188190196</v>
      </c>
      <c r="H13" s="2">
        <v>1.4951863515461799E-2</v>
      </c>
      <c r="I13" s="2">
        <v>3.3294554831940402E-2</v>
      </c>
      <c r="J13" s="2">
        <v>-1.7479135880713399E-3</v>
      </c>
      <c r="K13" s="4" t="s">
        <v>38</v>
      </c>
      <c r="L13" s="2">
        <f t="shared" si="0"/>
        <v>0.77206944188190196</v>
      </c>
    </row>
    <row r="14" spans="1:15" x14ac:dyDescent="0.25">
      <c r="A14" s="2">
        <v>2.37546999213861E-2</v>
      </c>
      <c r="B14" s="2">
        <v>1.9368238994599201E-2</v>
      </c>
      <c r="C14" s="2">
        <v>6.0580058980285997E-2</v>
      </c>
      <c r="D14" s="2">
        <v>-5.3509880468171601E-2</v>
      </c>
      <c r="E14" s="2">
        <v>2.7131394021768E-2</v>
      </c>
      <c r="F14" s="2">
        <v>4.9451167602855402E-2</v>
      </c>
      <c r="G14" s="2">
        <v>0.76920658641117701</v>
      </c>
      <c r="H14" s="2">
        <v>-5.4478260160114297E-2</v>
      </c>
      <c r="I14" s="2">
        <v>4.4378125049792702E-2</v>
      </c>
      <c r="J14" s="2">
        <v>-2.5267146792391199E-2</v>
      </c>
      <c r="K14" s="4" t="s">
        <v>28</v>
      </c>
      <c r="L14" s="2">
        <f t="shared" si="0"/>
        <v>0.76920658641117701</v>
      </c>
    </row>
    <row r="15" spans="1:15" x14ac:dyDescent="0.25">
      <c r="A15" s="2">
        <v>0.11775946917637101</v>
      </c>
      <c r="B15" s="2">
        <v>0.26121508882207001</v>
      </c>
      <c r="C15" s="2">
        <v>-0.12965120278376399</v>
      </c>
      <c r="D15" s="2">
        <v>-4.9798021975985901E-2</v>
      </c>
      <c r="E15" s="2">
        <v>0.13244411479181201</v>
      </c>
      <c r="F15" s="2">
        <v>0.102850402135685</v>
      </c>
      <c r="G15" s="2">
        <v>-0.24631792543811201</v>
      </c>
      <c r="H15" s="2">
        <v>0.38493785775245698</v>
      </c>
      <c r="I15" s="2">
        <v>3.6123913734583901E-2</v>
      </c>
      <c r="J15" s="2">
        <v>-6.7800393122511599E-2</v>
      </c>
      <c r="K15" s="4" t="s">
        <v>39</v>
      </c>
      <c r="L15" s="2">
        <f t="shared" si="0"/>
        <v>0.38493785775245698</v>
      </c>
    </row>
    <row r="16" spans="1:15" x14ac:dyDescent="0.25">
      <c r="A16" s="2">
        <v>-7.5097505808246296E-3</v>
      </c>
      <c r="B16" s="2">
        <v>0.307232371437621</v>
      </c>
      <c r="C16" s="2">
        <v>-1.5334766909642699E-2</v>
      </c>
      <c r="D16" s="2">
        <v>1.8170634483297601E-2</v>
      </c>
      <c r="E16" s="2">
        <v>0.135904499196421</v>
      </c>
      <c r="F16" s="2">
        <v>9.0653743281219695E-2</v>
      </c>
      <c r="G16" s="2">
        <v>-0.298303520484339</v>
      </c>
      <c r="H16" s="2">
        <v>0.26737090808802799</v>
      </c>
      <c r="I16" s="2">
        <v>9.9862429284650306E-2</v>
      </c>
      <c r="J16" s="2">
        <v>-4.1317246067412897E-2</v>
      </c>
      <c r="K16" s="4" t="s">
        <v>26</v>
      </c>
      <c r="L16" s="2">
        <f t="shared" si="0"/>
        <v>0.307232371437621</v>
      </c>
    </row>
    <row r="17" spans="1:12" x14ac:dyDescent="0.25">
      <c r="A17" s="2">
        <v>-4.4012326475823101E-2</v>
      </c>
      <c r="B17" s="2">
        <v>3.4001850556871202E-2</v>
      </c>
      <c r="C17" s="2">
        <v>0.15557198948866799</v>
      </c>
      <c r="D17" s="2">
        <v>-9.4526224597076703E-3</v>
      </c>
      <c r="E17" s="2">
        <v>0.18688181111715699</v>
      </c>
      <c r="F17" s="2">
        <v>-3.7533109759314898E-2</v>
      </c>
      <c r="G17" s="2">
        <v>0.274934765996866</v>
      </c>
      <c r="H17" s="2">
        <v>-6.1417780145785597E-2</v>
      </c>
      <c r="I17" s="2">
        <v>0.11607454162031899</v>
      </c>
      <c r="J17" s="2">
        <v>1.45757647147787E-2</v>
      </c>
      <c r="K17" s="4" t="s">
        <v>35</v>
      </c>
      <c r="L17" s="2">
        <f t="shared" si="0"/>
        <v>0.274934765996866</v>
      </c>
    </row>
    <row r="18" spans="1:12" x14ac:dyDescent="0.25">
      <c r="A18" s="2">
        <v>7.5236187457729406E-2</v>
      </c>
      <c r="B18" s="2">
        <v>0.78044723628818902</v>
      </c>
      <c r="C18" s="2">
        <v>-4.5338162117753399E-2</v>
      </c>
      <c r="D18" s="2">
        <v>-4.5613773305700498E-3</v>
      </c>
      <c r="E18" s="2">
        <v>2.94192454080104E-2</v>
      </c>
      <c r="F18" s="2">
        <v>4.2542544769661801E-2</v>
      </c>
      <c r="G18" s="2">
        <v>0.10762286605372599</v>
      </c>
      <c r="H18" s="2">
        <v>-2.1058785175192E-2</v>
      </c>
      <c r="I18" s="2">
        <v>9.3589789194821506E-3</v>
      </c>
      <c r="J18" s="2">
        <v>1.2112695668561599E-3</v>
      </c>
      <c r="K18" s="4" t="s">
        <v>40</v>
      </c>
      <c r="L18" s="2">
        <f t="shared" si="0"/>
        <v>0.78044723628818902</v>
      </c>
    </row>
    <row r="19" spans="1:12" x14ac:dyDescent="0.25">
      <c r="A19" s="2">
        <v>6.83296910959761E-2</v>
      </c>
      <c r="B19" s="2">
        <v>-0.17880476961559399</v>
      </c>
      <c r="C19" s="2">
        <v>-9.6700384608457104E-2</v>
      </c>
      <c r="D19" s="2">
        <v>-7.4934401985022506E-2</v>
      </c>
      <c r="E19" s="2">
        <v>5.5706456075634903E-2</v>
      </c>
      <c r="F19" s="2">
        <v>0.19737216006556799</v>
      </c>
      <c r="G19" s="2">
        <v>0.29291391288087798</v>
      </c>
      <c r="H19" s="2">
        <v>5.67226878649476E-2</v>
      </c>
      <c r="I19" s="2">
        <v>3.81522327907391E-2</v>
      </c>
      <c r="J19" s="2">
        <v>-3.5414083437693603E-2</v>
      </c>
      <c r="K19" s="4" t="s">
        <v>33</v>
      </c>
      <c r="L19" s="2">
        <f t="shared" si="0"/>
        <v>0.29291391288087798</v>
      </c>
    </row>
    <row r="20" spans="1:12" x14ac:dyDescent="0.25">
      <c r="A20" s="2">
        <v>-3.0062284936631899E-3</v>
      </c>
      <c r="B20" s="2">
        <v>0.95972491587425501</v>
      </c>
      <c r="C20" s="2">
        <v>-3.7851693087505101E-3</v>
      </c>
      <c r="D20" s="2">
        <v>5.7426352320860304E-3</v>
      </c>
      <c r="E20" s="2">
        <v>-2.09998771841125E-2</v>
      </c>
      <c r="F20" s="2">
        <v>-1.8645842255817301E-2</v>
      </c>
      <c r="G20" s="2">
        <v>-3.4905900479950402E-2</v>
      </c>
      <c r="H20" s="2">
        <v>-5.9323834689351602E-2</v>
      </c>
      <c r="I20" s="2">
        <v>6.8061054134983699E-3</v>
      </c>
      <c r="J20" s="2">
        <v>-6.6704291132536602E-3</v>
      </c>
      <c r="K20" s="4" t="s">
        <v>27</v>
      </c>
      <c r="L20" s="2">
        <f t="shared" si="0"/>
        <v>0.95972491587425501</v>
      </c>
    </row>
    <row r="21" spans="1:12" x14ac:dyDescent="0.25">
      <c r="A21" s="2">
        <v>1.3578870047430599E-2</v>
      </c>
      <c r="B21" s="2">
        <v>-0.211118340925503</v>
      </c>
      <c r="C21" s="2">
        <v>0.34943000028878701</v>
      </c>
      <c r="D21" s="2">
        <v>1.7657253910577798E-2</v>
      </c>
      <c r="E21" s="2">
        <v>5.84057818594187E-2</v>
      </c>
      <c r="F21" s="2">
        <v>0.27376294593596101</v>
      </c>
      <c r="G21" s="2">
        <v>0.13581250033807199</v>
      </c>
      <c r="H21" s="2">
        <v>4.27059230968454E-2</v>
      </c>
      <c r="I21" s="2">
        <v>4.4674619684676203E-2</v>
      </c>
      <c r="J21" s="2">
        <v>-6.4350768980628803E-2</v>
      </c>
      <c r="K21" s="4" t="s">
        <v>41</v>
      </c>
      <c r="L21" s="2">
        <f t="shared" si="0"/>
        <v>0.34943000028878701</v>
      </c>
    </row>
    <row r="22" spans="1:12" x14ac:dyDescent="0.25">
      <c r="A22" s="2">
        <v>-8.6567477740011195E-2</v>
      </c>
      <c r="B22" s="2">
        <v>0.58839132351170398</v>
      </c>
      <c r="C22" s="2">
        <v>0.103553544778515</v>
      </c>
      <c r="D22" s="2">
        <v>1.51110828800989E-3</v>
      </c>
      <c r="E22" s="2">
        <v>-3.5559381934564697E-2</v>
      </c>
      <c r="F22" s="2">
        <v>1.55375297882758E-3</v>
      </c>
      <c r="G22" s="2">
        <v>-1.8449954391595299E-2</v>
      </c>
      <c r="H22" s="2">
        <v>0.31772892221323901</v>
      </c>
      <c r="I22" s="2">
        <v>4.9167279174468698E-2</v>
      </c>
      <c r="J22" s="2">
        <v>4.5554603837648699E-2</v>
      </c>
      <c r="K22" s="4" t="s">
        <v>42</v>
      </c>
      <c r="L22" s="2">
        <f t="shared" si="0"/>
        <v>0.58839132351170398</v>
      </c>
    </row>
    <row r="23" spans="1:12" x14ac:dyDescent="0.25">
      <c r="A23" s="2">
        <v>0.92127199751115896</v>
      </c>
      <c r="B23" s="2">
        <v>-7.9571248890300903E-3</v>
      </c>
      <c r="C23" s="2">
        <v>6.2107377233850999E-2</v>
      </c>
      <c r="D23" s="2">
        <v>2.7738911946758E-2</v>
      </c>
      <c r="E23" s="2">
        <v>2.2545439604566501E-2</v>
      </c>
      <c r="F23" s="2">
        <v>5.5370522015816097E-3</v>
      </c>
      <c r="G23" s="2">
        <v>1.4391310225279501E-2</v>
      </c>
      <c r="H23" s="2">
        <v>-4.6253297764222302E-2</v>
      </c>
      <c r="I23" s="2">
        <v>4.2422673698428601E-2</v>
      </c>
      <c r="J23" s="2">
        <v>3.35165661918361E-2</v>
      </c>
      <c r="K23" s="4" t="s">
        <v>43</v>
      </c>
      <c r="L23" s="2">
        <f t="shared" si="0"/>
        <v>0.92127199751115896</v>
      </c>
    </row>
    <row r="24" spans="1:12" x14ac:dyDescent="0.25">
      <c r="A24" s="2">
        <v>7.3718733883734802E-2</v>
      </c>
      <c r="B24" s="2">
        <v>2.0530220720254601E-2</v>
      </c>
      <c r="C24" s="2">
        <v>2.6946038728915801E-2</v>
      </c>
      <c r="D24" s="2">
        <v>-3.1802832854755099E-3</v>
      </c>
      <c r="E24" s="2">
        <v>4.6672312921323001E-4</v>
      </c>
      <c r="F24" s="2">
        <v>-1.52220636026499E-2</v>
      </c>
      <c r="G24" s="2">
        <v>-1.2469321797487399E-2</v>
      </c>
      <c r="H24" s="2">
        <v>-1.0203204248294699E-3</v>
      </c>
      <c r="I24" s="2">
        <v>0.89998290513633505</v>
      </c>
      <c r="J24" s="2">
        <v>-5.46006205862027E-3</v>
      </c>
      <c r="K24" s="4" t="s">
        <v>44</v>
      </c>
      <c r="L24" s="2">
        <f t="shared" si="0"/>
        <v>0.89998290513633505</v>
      </c>
    </row>
    <row r="25" spans="1:12" x14ac:dyDescent="0.25">
      <c r="A25" s="2">
        <v>0.88262558281900905</v>
      </c>
      <c r="B25" s="2">
        <v>-2.4288622065441498E-3</v>
      </c>
      <c r="C25" s="2">
        <v>4.2278892814948697E-2</v>
      </c>
      <c r="D25" s="2">
        <v>-4.2280974422698001E-2</v>
      </c>
      <c r="E25" s="2">
        <v>1.4308486195410201E-2</v>
      </c>
      <c r="F25" s="2">
        <v>-1.86513621228159E-3</v>
      </c>
      <c r="G25" s="2">
        <v>8.3657315851632906E-3</v>
      </c>
      <c r="H25" s="2">
        <v>-5.7488691280440797E-2</v>
      </c>
      <c r="I25" s="2">
        <v>5.2042980537985402E-2</v>
      </c>
      <c r="J25" s="2">
        <v>1.07920550423214E-2</v>
      </c>
      <c r="K25" s="4" t="s">
        <v>45</v>
      </c>
      <c r="L25" s="2">
        <f t="shared" si="0"/>
        <v>0.88262558281900905</v>
      </c>
    </row>
    <row r="26" spans="1:12" x14ac:dyDescent="0.25">
      <c r="A26" s="2">
        <v>0.198244160459495</v>
      </c>
      <c r="B26" s="2">
        <v>-7.6359592607345997E-2</v>
      </c>
      <c r="C26" s="2">
        <v>-7.6880897687075594E-2</v>
      </c>
      <c r="D26" s="2">
        <v>-0.152983903466545</v>
      </c>
      <c r="E26" s="2">
        <v>-3.8057953069513303E-2</v>
      </c>
      <c r="F26" s="2">
        <v>3.5609652129057402E-2</v>
      </c>
      <c r="G26" s="2">
        <v>0.12900762118589701</v>
      </c>
      <c r="H26" s="2">
        <v>0.114130385830348</v>
      </c>
      <c r="I26" s="2">
        <v>0.35561477056427498</v>
      </c>
      <c r="J26" s="2">
        <v>-6.7084249946511895E-2</v>
      </c>
      <c r="K26" s="4" t="s">
        <v>30</v>
      </c>
      <c r="L26" s="2">
        <f t="shared" si="0"/>
        <v>0.35561477056427498</v>
      </c>
    </row>
    <row r="27" spans="1:12" x14ac:dyDescent="0.25">
      <c r="A27" s="2">
        <v>-6.2852835877991202E-3</v>
      </c>
      <c r="B27" s="2">
        <v>4.2499249455810298E-5</v>
      </c>
      <c r="C27" s="2">
        <v>-2.7771794305745398E-3</v>
      </c>
      <c r="D27" s="2">
        <v>-1.9006669020652199E-2</v>
      </c>
      <c r="E27" s="2">
        <v>-3.8872304882579698E-3</v>
      </c>
      <c r="F27" s="2">
        <v>3.9915181634152502E-2</v>
      </c>
      <c r="G27" s="2">
        <v>1.1806091581953299E-2</v>
      </c>
      <c r="H27" s="2">
        <v>-3.6151433805366701E-2</v>
      </c>
      <c r="I27" s="2">
        <v>0.96722295667365898</v>
      </c>
      <c r="J27" s="2">
        <v>-1.2943020212566599E-2</v>
      </c>
      <c r="K27" s="4" t="s">
        <v>31</v>
      </c>
      <c r="L27" s="2">
        <f t="shared" si="0"/>
        <v>0.96722295667365898</v>
      </c>
    </row>
    <row r="28" spans="1:12" x14ac:dyDescent="0.25">
      <c r="A28" s="2">
        <v>0.65111386350796197</v>
      </c>
      <c r="B28" s="2">
        <v>7.1718614810604903E-2</v>
      </c>
      <c r="C28" s="2">
        <v>-9.97330586850389E-2</v>
      </c>
      <c r="D28" s="2">
        <v>-3.48059568233023E-2</v>
      </c>
      <c r="E28" s="2">
        <v>-3.9682357617625799E-2</v>
      </c>
      <c r="F28" s="2">
        <v>4.4772361408647703E-2</v>
      </c>
      <c r="G28" s="2">
        <v>2.8888102156722401E-2</v>
      </c>
      <c r="H28" s="2">
        <v>0.28616195140531397</v>
      </c>
      <c r="I28" s="2">
        <v>0.120878986387446</v>
      </c>
      <c r="J28" s="2">
        <v>-4.6811415443970703E-2</v>
      </c>
      <c r="K28" s="4" t="s">
        <v>21</v>
      </c>
      <c r="L28" s="2">
        <f t="shared" si="0"/>
        <v>0.65111386350796197</v>
      </c>
    </row>
    <row r="29" spans="1:12" x14ac:dyDescent="0.25">
      <c r="A29" s="2">
        <v>0.14693377828753801</v>
      </c>
      <c r="B29" s="2">
        <v>-2.0185270527888498E-2</v>
      </c>
      <c r="C29" s="2">
        <v>0.10069315074924</v>
      </c>
      <c r="D29" s="2">
        <v>7.8578582424570206E-2</v>
      </c>
      <c r="E29" s="2">
        <v>0.18966708974803201</v>
      </c>
      <c r="F29" s="2">
        <v>-2.1939253540586401E-2</v>
      </c>
      <c r="G29" s="2">
        <v>0.117139711622695</v>
      </c>
      <c r="H29" s="2">
        <v>0.14895761336476801</v>
      </c>
      <c r="I29" s="2">
        <v>0.14530324827938401</v>
      </c>
      <c r="J29" s="2">
        <v>0.34910906259379698</v>
      </c>
      <c r="K29" s="4" t="s">
        <v>46</v>
      </c>
      <c r="L29" s="2">
        <f t="shared" si="0"/>
        <v>0.34910906259379698</v>
      </c>
    </row>
    <row r="30" spans="1:12" x14ac:dyDescent="0.25">
      <c r="A30" s="2">
        <v>0.15816248760484</v>
      </c>
      <c r="B30" s="2">
        <v>5.1255786310617099E-2</v>
      </c>
      <c r="C30" s="2">
        <v>-0.11867863161924699</v>
      </c>
      <c r="D30" s="2">
        <v>1.3228039115616E-2</v>
      </c>
      <c r="E30" s="2">
        <v>8.8343733991520998E-2</v>
      </c>
      <c r="F30" s="2">
        <v>-3.70280995766867E-2</v>
      </c>
      <c r="G30" s="2">
        <v>7.1633204600627699E-3</v>
      </c>
      <c r="H30" s="2">
        <v>0.59628809133664495</v>
      </c>
      <c r="I30" s="2">
        <v>8.5606004870811395E-2</v>
      </c>
      <c r="J30" s="2">
        <v>8.4818719454648098E-2</v>
      </c>
      <c r="K30" s="4" t="s">
        <v>25</v>
      </c>
      <c r="L30" s="2">
        <f t="shared" si="0"/>
        <v>0.59628809133664495</v>
      </c>
    </row>
    <row r="31" spans="1:12" x14ac:dyDescent="0.25">
      <c r="A31" s="2">
        <v>8.4388726302969494E-2</v>
      </c>
      <c r="B31" s="2">
        <v>-7.7452351498147299E-4</v>
      </c>
      <c r="C31" s="2">
        <v>3.4985838886883898E-2</v>
      </c>
      <c r="D31" s="2">
        <v>5.3033612707017098E-2</v>
      </c>
      <c r="E31" s="2">
        <v>0.13811524691653301</v>
      </c>
      <c r="F31" s="2">
        <v>-0.120938787354355</v>
      </c>
      <c r="G31" s="2">
        <v>0.14619675863956699</v>
      </c>
      <c r="H31" s="2">
        <v>0.188773384049057</v>
      </c>
      <c r="I31" s="2">
        <v>0.35259532272046201</v>
      </c>
      <c r="J31" s="2">
        <v>0.28299849631468699</v>
      </c>
      <c r="K31" s="4" t="s">
        <v>47</v>
      </c>
      <c r="L31" s="2">
        <f t="shared" si="0"/>
        <v>0.35259532272046201</v>
      </c>
    </row>
    <row r="32" spans="1:12" x14ac:dyDescent="0.25">
      <c r="A32" s="2">
        <v>5.2205326767142103E-2</v>
      </c>
      <c r="B32" s="2">
        <v>3.55620437495333E-3</v>
      </c>
      <c r="C32" s="2">
        <v>0.128884668384978</v>
      </c>
      <c r="D32" s="2">
        <v>-7.8529707657974498E-2</v>
      </c>
      <c r="E32" s="2">
        <v>4.2747870419859897E-2</v>
      </c>
      <c r="F32" s="2">
        <v>0.70816562027658603</v>
      </c>
      <c r="G32" s="2">
        <v>1.87701249499421E-2</v>
      </c>
      <c r="H32" s="2">
        <v>-0.134036784950509</v>
      </c>
      <c r="I32" s="2">
        <v>7.4031942446767404E-2</v>
      </c>
      <c r="J32" s="2">
        <v>-2.0578934791933901E-2</v>
      </c>
      <c r="K32" s="4" t="s">
        <v>16</v>
      </c>
      <c r="L32" s="2">
        <f t="shared" si="0"/>
        <v>0.70816562027658603</v>
      </c>
    </row>
    <row r="33" spans="1:12" x14ac:dyDescent="0.25">
      <c r="A33" s="2">
        <v>0.14287035693866099</v>
      </c>
      <c r="B33" s="2">
        <v>1.5994349669077999E-2</v>
      </c>
      <c r="C33" s="2">
        <v>2.7881137566231801E-2</v>
      </c>
      <c r="D33" s="2">
        <v>1.3749517700468001E-2</v>
      </c>
      <c r="E33" s="2">
        <v>0.15686400586643301</v>
      </c>
      <c r="F33" s="2">
        <v>0.57674160441276201</v>
      </c>
      <c r="G33" s="2">
        <v>5.5027974000919098E-2</v>
      </c>
      <c r="H33" s="2">
        <v>-4.2074593728470304E-3</v>
      </c>
      <c r="I33" s="2">
        <v>0.103190514971159</v>
      </c>
      <c r="J33" s="2">
        <v>7.20665307517174E-2</v>
      </c>
      <c r="K33" s="4" t="s">
        <v>23</v>
      </c>
      <c r="L33" s="2">
        <f t="shared" si="0"/>
        <v>0.57674160441276201</v>
      </c>
    </row>
    <row r="34" spans="1:12" x14ac:dyDescent="0.25">
      <c r="A34" s="2">
        <v>9.2910182123093099E-2</v>
      </c>
      <c r="B34" s="2">
        <v>-0.100426257013797</v>
      </c>
      <c r="C34" s="2">
        <v>5.5482924265514003E-2</v>
      </c>
      <c r="D34" s="2">
        <v>-0.18733283492667799</v>
      </c>
      <c r="E34" s="2">
        <v>-6.10611958453499E-2</v>
      </c>
      <c r="F34" s="2">
        <v>0.37305591832275198</v>
      </c>
      <c r="G34" s="2">
        <v>0.21621340439454401</v>
      </c>
      <c r="H34" s="2">
        <v>0.14561161378364801</v>
      </c>
      <c r="I34" s="2">
        <v>-5.91158018325669E-2</v>
      </c>
      <c r="J34" s="2">
        <v>0.164243980021645</v>
      </c>
      <c r="K34" s="4" t="s">
        <v>48</v>
      </c>
      <c r="L34" s="2">
        <f t="shared" si="0"/>
        <v>0.37305591832275198</v>
      </c>
    </row>
    <row r="35" spans="1:12" x14ac:dyDescent="0.25">
      <c r="A35" s="2">
        <v>-5.9751907109051899E-2</v>
      </c>
      <c r="B35" s="2">
        <v>0.22640213643242399</v>
      </c>
      <c r="C35" s="2">
        <v>-8.5339364737286899E-2</v>
      </c>
      <c r="D35" s="2">
        <v>-0.14343377062361701</v>
      </c>
      <c r="E35" s="2">
        <v>-8.5236320998081205E-2</v>
      </c>
      <c r="F35" s="2">
        <v>8.4838882736813503E-2</v>
      </c>
      <c r="G35" s="2">
        <v>0.18788596419328599</v>
      </c>
      <c r="H35" s="2">
        <v>0.41743469832402602</v>
      </c>
      <c r="I35" s="2">
        <v>-6.0014993852519197E-2</v>
      </c>
      <c r="J35" s="2">
        <v>8.2912076105985499E-2</v>
      </c>
      <c r="K35" s="4" t="s">
        <v>49</v>
      </c>
      <c r="L35" s="2">
        <f t="shared" si="0"/>
        <v>0.41743469832402602</v>
      </c>
    </row>
    <row r="36" spans="1:12" x14ac:dyDescent="0.25">
      <c r="A36" s="2">
        <v>7.2737927876245001E-2</v>
      </c>
      <c r="B36" s="2">
        <v>-1.8422393066842999E-2</v>
      </c>
      <c r="C36" s="2">
        <v>0.107319754154997</v>
      </c>
      <c r="D36" s="2">
        <v>-0.58127027027717404</v>
      </c>
      <c r="E36" s="2">
        <v>3.0767965719086299E-2</v>
      </c>
      <c r="F36" s="2">
        <v>0.212976248495441</v>
      </c>
      <c r="G36" s="2">
        <v>4.4958704166231198E-2</v>
      </c>
      <c r="H36" s="2">
        <v>-3.5166802277426701E-3</v>
      </c>
      <c r="I36" s="2">
        <v>2.39279700455894E-2</v>
      </c>
      <c r="J36" s="2">
        <v>6.4781487805708998E-2</v>
      </c>
      <c r="K36" s="4" t="s">
        <v>36</v>
      </c>
      <c r="L36" s="2">
        <f t="shared" si="0"/>
        <v>0.58127027027717404</v>
      </c>
    </row>
    <row r="37" spans="1:12" x14ac:dyDescent="0.25">
      <c r="A37" s="2">
        <v>1.72101274886973E-2</v>
      </c>
      <c r="B37" s="2">
        <v>5.6017591993676501E-2</v>
      </c>
      <c r="C37" s="2">
        <v>8.5328322702135501E-2</v>
      </c>
      <c r="D37" s="2">
        <v>-0.56666370488483597</v>
      </c>
      <c r="E37" s="2">
        <v>7.63129919372912E-2</v>
      </c>
      <c r="F37" s="2">
        <v>5.6453124789241103E-2</v>
      </c>
      <c r="G37" s="2">
        <v>0.14060351067554799</v>
      </c>
      <c r="H37" s="2">
        <v>-2.1250668442476701E-3</v>
      </c>
      <c r="I37" s="2">
        <v>-3.0363076148174802E-2</v>
      </c>
      <c r="J37" s="2">
        <v>-7.6715331427425607E-2</v>
      </c>
      <c r="K37" s="4" t="s">
        <v>50</v>
      </c>
      <c r="L37" s="2">
        <f t="shared" si="0"/>
        <v>0.56666370488483597</v>
      </c>
    </row>
    <row r="38" spans="1:12" x14ac:dyDescent="0.25">
      <c r="A38" s="2">
        <v>-2.1541533420636499E-2</v>
      </c>
      <c r="B38" s="2">
        <v>-5.5082824517621301E-3</v>
      </c>
      <c r="C38" s="2">
        <v>2.6705505033332501E-2</v>
      </c>
      <c r="D38" s="2">
        <v>-0.83586906207840805</v>
      </c>
      <c r="E38" s="2">
        <v>6.72454619306459E-2</v>
      </c>
      <c r="F38" s="2">
        <v>1.23152925413023E-2</v>
      </c>
      <c r="G38" s="2">
        <v>7.2872830704139704E-2</v>
      </c>
      <c r="H38" s="2">
        <v>4.0086372094331399E-2</v>
      </c>
      <c r="I38" s="2">
        <v>4.1659371157598699E-2</v>
      </c>
      <c r="J38" s="2">
        <v>-4.4726404573800699E-2</v>
      </c>
      <c r="K38" s="4" t="s">
        <v>51</v>
      </c>
      <c r="L38" s="2">
        <f t="shared" si="0"/>
        <v>0.83586906207840805</v>
      </c>
    </row>
    <row r="39" spans="1:12" x14ac:dyDescent="0.25">
      <c r="A39" s="2">
        <v>1.6830833474425901E-2</v>
      </c>
      <c r="B39" s="2">
        <v>-3.5927823025235499E-2</v>
      </c>
      <c r="C39" s="2">
        <v>2.0130515846250099E-2</v>
      </c>
      <c r="D39" s="2">
        <v>-0.62902970606486597</v>
      </c>
      <c r="E39" s="2">
        <v>2.28405509147823E-2</v>
      </c>
      <c r="F39" s="2">
        <v>4.3313409563291098E-2</v>
      </c>
      <c r="G39" s="2">
        <v>-6.3049572779500601E-2</v>
      </c>
      <c r="H39" s="2">
        <v>-4.1731746722447297E-2</v>
      </c>
      <c r="I39" s="2">
        <v>9.5727161132123498E-2</v>
      </c>
      <c r="J39" s="2">
        <v>0.39276411380434001</v>
      </c>
      <c r="K39" s="4" t="s">
        <v>20</v>
      </c>
      <c r="L39" s="2">
        <f t="shared" si="0"/>
        <v>0.62902970606486597</v>
      </c>
    </row>
    <row r="40" spans="1:12" x14ac:dyDescent="0.25">
      <c r="A40" s="2">
        <v>4.5891462622936398E-2</v>
      </c>
      <c r="B40" s="2">
        <v>1.2230637424195501E-2</v>
      </c>
      <c r="C40" s="2">
        <v>2.01868432075261E-2</v>
      </c>
      <c r="D40" s="2">
        <v>-0.87797108038215699</v>
      </c>
      <c r="E40" s="2">
        <v>4.75235654654153E-2</v>
      </c>
      <c r="F40" s="2">
        <v>-3.8409175312871302E-2</v>
      </c>
      <c r="G40" s="2">
        <v>1.36725240220292E-2</v>
      </c>
      <c r="H40" s="2">
        <v>1.8242024747806E-2</v>
      </c>
      <c r="I40" s="2">
        <v>2.2802796367802601E-2</v>
      </c>
      <c r="J40" s="2">
        <v>1.4938509393916499E-2</v>
      </c>
      <c r="K40" s="4" t="s">
        <v>52</v>
      </c>
      <c r="L40" s="2">
        <f t="shared" si="0"/>
        <v>0.87797108038215699</v>
      </c>
    </row>
    <row r="41" spans="1:12" x14ac:dyDescent="0.25">
      <c r="A41" s="2">
        <v>-3.2375586846218697E-2</v>
      </c>
      <c r="B41" s="2">
        <v>8.2547414088123897E-2</v>
      </c>
      <c r="C41" s="2">
        <v>8.4284137531557696E-2</v>
      </c>
      <c r="D41" s="2">
        <v>5.2114773977498703E-2</v>
      </c>
      <c r="E41" s="2">
        <v>5.9217168991021604E-3</v>
      </c>
      <c r="F41" s="2">
        <v>0.510962559378346</v>
      </c>
      <c r="G41" s="2">
        <v>-8.2944802585142707E-3</v>
      </c>
      <c r="H41" s="2">
        <v>0.25238024265861803</v>
      </c>
      <c r="I41" s="2">
        <v>1.42936195594994E-2</v>
      </c>
      <c r="J41" s="2">
        <v>8.9653149318009703E-2</v>
      </c>
      <c r="K41" s="4" t="s">
        <v>53</v>
      </c>
      <c r="L41" s="2">
        <f t="shared" si="0"/>
        <v>0.510962559378346</v>
      </c>
    </row>
    <row r="42" spans="1:12" x14ac:dyDescent="0.25">
      <c r="A42" s="2">
        <v>0.289581182442952</v>
      </c>
      <c r="B42" s="2">
        <v>0.131879358692474</v>
      </c>
      <c r="C42" s="2">
        <v>-3.03509522405262E-2</v>
      </c>
      <c r="D42" s="2">
        <v>-2.8189588264204899E-2</v>
      </c>
      <c r="E42" s="2">
        <v>-7.0856074287982199E-3</v>
      </c>
      <c r="F42" s="2">
        <v>0.39446702167418601</v>
      </c>
      <c r="G42" s="2">
        <v>4.5316281026929403E-2</v>
      </c>
      <c r="H42" s="2">
        <v>0.258708652398704</v>
      </c>
      <c r="I42" s="2">
        <v>-3.4425571544122097E-2</v>
      </c>
      <c r="J42" s="2">
        <v>-4.6812641663448402E-2</v>
      </c>
      <c r="K42" s="4" t="s">
        <v>54</v>
      </c>
      <c r="L42" s="2">
        <f t="shared" si="0"/>
        <v>0.39446702167418601</v>
      </c>
    </row>
    <row r="43" spans="1:12" x14ac:dyDescent="0.25">
      <c r="A43" s="2">
        <v>-4.2617659405441597E-3</v>
      </c>
      <c r="B43" s="2">
        <v>-2.6606607642600398E-3</v>
      </c>
      <c r="C43" s="2">
        <v>2.79153010585147E-2</v>
      </c>
      <c r="D43" s="2">
        <v>-6.4074891381261101E-2</v>
      </c>
      <c r="E43" s="2">
        <v>9.0678153898612002E-2</v>
      </c>
      <c r="F43" s="2">
        <v>7.2027874182849297E-3</v>
      </c>
      <c r="G43" s="2">
        <v>-0.13282145832359099</v>
      </c>
      <c r="H43" s="2">
        <v>0.64109288914453</v>
      </c>
      <c r="I43" s="2">
        <v>-2.1126199587451502E-3</v>
      </c>
      <c r="J43" s="2">
        <v>-0.120411856310256</v>
      </c>
      <c r="K43" s="4" t="s">
        <v>29</v>
      </c>
      <c r="L43" s="2">
        <f t="shared" si="0"/>
        <v>0.64109288914453</v>
      </c>
    </row>
    <row r="44" spans="1:12" x14ac:dyDescent="0.25">
      <c r="A44" s="2">
        <v>4.9893144248841102E-4</v>
      </c>
      <c r="B44" s="2">
        <v>7.0587312933368895E-2</v>
      </c>
      <c r="C44" s="2">
        <v>5.2192378521977403E-2</v>
      </c>
      <c r="D44" s="2">
        <v>-1.7419111577168401E-2</v>
      </c>
      <c r="E44" s="2">
        <v>0.150392808628802</v>
      </c>
      <c r="F44" s="2">
        <v>0.10027111040634699</v>
      </c>
      <c r="G44" s="2">
        <v>-5.48455227562097E-2</v>
      </c>
      <c r="H44" s="2">
        <v>0.50276552514811901</v>
      </c>
      <c r="I44" s="2">
        <v>-1.4413546832837E-2</v>
      </c>
      <c r="J44" s="2">
        <v>9.5515844988668899E-2</v>
      </c>
      <c r="K44" s="4" t="s">
        <v>55</v>
      </c>
      <c r="L44" s="2">
        <f t="shared" si="0"/>
        <v>0.50276552514811901</v>
      </c>
    </row>
    <row r="45" spans="1:12" x14ac:dyDescent="0.25">
      <c r="A45" s="2">
        <v>5.7038814523184697E-2</v>
      </c>
      <c r="B45" s="2">
        <v>0.17424878003143299</v>
      </c>
      <c r="C45" s="2">
        <v>-1.1278199870416601E-2</v>
      </c>
      <c r="D45" s="2">
        <v>-2.5309190747710798E-2</v>
      </c>
      <c r="E45" s="2">
        <v>3.3984757873561401E-3</v>
      </c>
      <c r="F45" s="2">
        <v>0.12635820738672099</v>
      </c>
      <c r="G45" s="2">
        <v>-6.6303960137839693E-2</v>
      </c>
      <c r="H45" s="2">
        <v>0.46607969074744099</v>
      </c>
      <c r="I45" s="2">
        <v>-0.106029228476526</v>
      </c>
      <c r="J45" s="2">
        <v>1.50639609296004E-2</v>
      </c>
      <c r="K45" s="4" t="s">
        <v>56</v>
      </c>
      <c r="L45" s="2">
        <f t="shared" si="0"/>
        <v>0.46607969074744099</v>
      </c>
    </row>
    <row r="46" spans="1:12" x14ac:dyDescent="0.25">
      <c r="A46" s="2">
        <v>0.115247992660251</v>
      </c>
      <c r="B46" s="2">
        <v>9.0824920001790904E-2</v>
      </c>
      <c r="C46" s="2">
        <v>-1.4722042249052301E-2</v>
      </c>
      <c r="D46" s="2">
        <v>-8.0046796342654103E-2</v>
      </c>
      <c r="E46" s="2">
        <v>0.14836833382215101</v>
      </c>
      <c r="F46" s="2">
        <v>0.183104573081594</v>
      </c>
      <c r="G46" s="2">
        <v>0.168707400469711</v>
      </c>
      <c r="H46" s="2">
        <v>0.175959732315078</v>
      </c>
      <c r="I46" s="2">
        <v>3.4012099009120798E-2</v>
      </c>
      <c r="J46" s="2">
        <v>0.19367747032264501</v>
      </c>
      <c r="K46" s="4" t="s">
        <v>57</v>
      </c>
      <c r="L46" s="2">
        <f t="shared" si="0"/>
        <v>0.19367747032264501</v>
      </c>
    </row>
    <row r="47" spans="1:12" x14ac:dyDescent="0.25">
      <c r="A47" s="2">
        <v>-7.6858474765343299E-2</v>
      </c>
      <c r="B47" s="2">
        <v>3.9429783099681502E-2</v>
      </c>
      <c r="C47" s="2">
        <v>0.119661376123486</v>
      </c>
      <c r="D47" s="2">
        <v>-0.14669268290673301</v>
      </c>
      <c r="E47" s="2">
        <v>7.9004567784299498E-2</v>
      </c>
      <c r="F47" s="2">
        <v>0.50577041646302801</v>
      </c>
      <c r="G47" s="2">
        <v>3.0869577748008799E-2</v>
      </c>
      <c r="H47" s="2">
        <v>5.4722369011755499E-2</v>
      </c>
      <c r="I47" s="2">
        <v>0.12995075991461</v>
      </c>
      <c r="J47" s="2">
        <v>4.43010253516741E-2</v>
      </c>
      <c r="K47" s="4" t="s">
        <v>58</v>
      </c>
      <c r="L47" s="2">
        <f t="shared" si="0"/>
        <v>0.50577041646302801</v>
      </c>
    </row>
    <row r="48" spans="1:12" x14ac:dyDescent="0.25">
      <c r="A48" s="2">
        <v>0.134243809181712</v>
      </c>
      <c r="B48" s="2">
        <v>4.1043807269775197E-2</v>
      </c>
      <c r="C48" s="2">
        <v>3.9776939003373299E-2</v>
      </c>
      <c r="D48" s="2">
        <v>-0.33599409128186902</v>
      </c>
      <c r="E48" s="2">
        <v>3.5988597504890397E-2</v>
      </c>
      <c r="F48" s="2">
        <v>0.12606728171530199</v>
      </c>
      <c r="G48" s="2">
        <v>-3.7396073184836599E-2</v>
      </c>
      <c r="H48" s="2">
        <v>-8.8052932902941597E-2</v>
      </c>
      <c r="I48" s="2">
        <v>-3.0825734968556E-3</v>
      </c>
      <c r="J48" s="2">
        <v>0.56247931737876999</v>
      </c>
      <c r="K48" s="4" t="s">
        <v>32</v>
      </c>
      <c r="L48" s="2">
        <f t="shared" si="0"/>
        <v>0.56247931737876999</v>
      </c>
    </row>
    <row r="49" spans="1:12" x14ac:dyDescent="0.25">
      <c r="A49" s="2">
        <v>-1.22900768869381E-2</v>
      </c>
      <c r="B49" s="2">
        <v>8.6448033796401993E-2</v>
      </c>
      <c r="C49" s="2">
        <v>0.13150485127825901</v>
      </c>
      <c r="D49" s="2">
        <v>-8.6224926066345201E-2</v>
      </c>
      <c r="E49" s="2">
        <v>1.1764647699511801E-2</v>
      </c>
      <c r="F49" s="2">
        <v>7.4760887686962499E-2</v>
      </c>
      <c r="G49" s="2">
        <v>-0.28441561668342602</v>
      </c>
      <c r="H49" s="2">
        <v>0.53253629823931603</v>
      </c>
      <c r="I49" s="2">
        <v>-4.74113082536744E-2</v>
      </c>
      <c r="J49" s="2">
        <v>-0.11965913595564</v>
      </c>
      <c r="K49" s="4" t="s">
        <v>59</v>
      </c>
      <c r="L49" s="2">
        <f t="shared" si="0"/>
        <v>0.53253629823931603</v>
      </c>
    </row>
    <row r="50" spans="1:12" x14ac:dyDescent="0.25">
      <c r="A50" s="2">
        <v>-1.1477022215851101E-2</v>
      </c>
      <c r="B50" s="2">
        <v>-4.5940044782172798E-2</v>
      </c>
      <c r="C50" s="2">
        <v>0.12728783802904101</v>
      </c>
      <c r="D50" s="2">
        <v>-9.5409732583979598E-2</v>
      </c>
      <c r="E50" s="2">
        <v>0.219773859581543</v>
      </c>
      <c r="F50" s="2">
        <v>0.181707339431913</v>
      </c>
      <c r="G50" s="2">
        <v>-2.0005942324133399E-2</v>
      </c>
      <c r="H50" s="2">
        <v>2.7181873296535E-2</v>
      </c>
      <c r="I50" s="2">
        <v>0.17890351211515301</v>
      </c>
      <c r="J50" s="2">
        <v>-8.1372518355771306E-2</v>
      </c>
      <c r="K50" s="4" t="s">
        <v>60</v>
      </c>
      <c r="L50" s="2">
        <f t="shared" si="0"/>
        <v>0.219773859581543</v>
      </c>
    </row>
  </sheetData>
  <conditionalFormatting sqref="L2:L50">
    <cfRule type="cellIs" dxfId="59" priority="7" operator="lessThan">
      <formula>$O$2</formula>
    </cfRule>
  </conditionalFormatting>
  <conditionalFormatting sqref="A2:J50">
    <cfRule type="cellIs" dxfId="58" priority="3" operator="lessThan">
      <formula>$O$4</formula>
    </cfRule>
    <cfRule type="cellIs" dxfId="57" priority="4" operator="greaterThan">
      <formula>$O$3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zoomScale="85" zoomScaleNormal="85" workbookViewId="0">
      <selection activeCell="O3" sqref="O3"/>
    </sheetView>
  </sheetViews>
  <sheetFormatPr defaultRowHeight="15" x14ac:dyDescent="0.25"/>
  <cols>
    <col min="1" max="10" width="7" style="1" customWidth="1"/>
    <col min="11" max="11" width="11.5703125" style="3" customWidth="1"/>
    <col min="12" max="12" width="6" style="1" customWidth="1"/>
    <col min="13" max="14" width="9.140625" style="1"/>
    <col min="15" max="15" width="7.7109375" style="1" bestFit="1" customWidth="1"/>
    <col min="16" max="16" width="5.85546875" style="1" bestFit="1" customWidth="1"/>
    <col min="17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61</v>
      </c>
    </row>
    <row r="2" spans="1:15" x14ac:dyDescent="0.25">
      <c r="A2" s="2">
        <v>7.1308816431491506E-2</v>
      </c>
      <c r="B2" s="2">
        <v>6.6550879813573002E-4</v>
      </c>
      <c r="C2" s="2">
        <v>0.10231090043772099</v>
      </c>
      <c r="D2" s="2">
        <v>-0.14255643079285599</v>
      </c>
      <c r="E2" s="2">
        <v>0.45682661766414101</v>
      </c>
      <c r="F2" s="2">
        <v>7.5189854665179398E-2</v>
      </c>
      <c r="G2" s="2">
        <v>3.1602770315085599E-2</v>
      </c>
      <c r="H2" s="2">
        <v>1.0964681891908299E-2</v>
      </c>
      <c r="I2" s="2">
        <v>-0.143148383960158</v>
      </c>
      <c r="J2" s="2">
        <v>2.37448499676726E-2</v>
      </c>
      <c r="K2" s="4" t="s">
        <v>12</v>
      </c>
      <c r="L2" s="2">
        <f>MAX(ABS(A2),ABS(B2),ABS(C2),ABS(D2),ABS(E2),ABS(F2),ABS(G2), ABS(H2), ABS(I2), ABS(J2))</f>
        <v>0.45682661766414101</v>
      </c>
      <c r="N2" s="1" t="s">
        <v>62</v>
      </c>
      <c r="O2" s="1">
        <f>oblimin!O2</f>
        <v>0.25</v>
      </c>
    </row>
    <row r="3" spans="1:15" x14ac:dyDescent="0.25">
      <c r="A3" s="2">
        <v>-1.2326085545538599E-2</v>
      </c>
      <c r="B3" s="2">
        <v>-2.5468905340521298E-4</v>
      </c>
      <c r="C3" s="2">
        <v>-1.7785117702440598E-2</v>
      </c>
      <c r="D3" s="2">
        <v>-4.5320349806373401E-2</v>
      </c>
      <c r="E3" s="2">
        <v>0.77815461458273905</v>
      </c>
      <c r="F3" s="2">
        <v>5.32371592576397E-2</v>
      </c>
      <c r="G3" s="2">
        <v>-2.2952857595472001E-3</v>
      </c>
      <c r="H3" s="2">
        <v>1.5442587096588301E-2</v>
      </c>
      <c r="I3" s="2">
        <v>5.2862924458149198E-2</v>
      </c>
      <c r="J3" s="2">
        <v>-2.8850907578363598E-4</v>
      </c>
      <c r="K3" s="4" t="s">
        <v>13</v>
      </c>
      <c r="L3" s="2">
        <f t="shared" ref="L3:L50" si="0">MAX(ABS(A3),ABS(B3),ABS(C3),ABS(D3),ABS(E3),ABS(F3),ABS(G3), ABS(H3), ABS(I3), ABS(J3))</f>
        <v>0.77815461458273905</v>
      </c>
      <c r="N3" s="1" t="s">
        <v>10</v>
      </c>
      <c r="O3" s="1">
        <f>O2</f>
        <v>0.25</v>
      </c>
    </row>
    <row r="4" spans="1:15" x14ac:dyDescent="0.25">
      <c r="A4" s="2">
        <v>6.8630388725377703E-2</v>
      </c>
      <c r="B4" s="2">
        <v>3.9714384677827202E-2</v>
      </c>
      <c r="C4" s="2">
        <v>6.2426024557714697E-2</v>
      </c>
      <c r="D4" s="2">
        <v>-0.14455096655142299</v>
      </c>
      <c r="E4" s="2">
        <v>0.67780948742454505</v>
      </c>
      <c r="F4" s="2">
        <v>1.28070233310169E-3</v>
      </c>
      <c r="G4" s="2">
        <v>7.2163628325776899E-2</v>
      </c>
      <c r="H4" s="2">
        <v>-9.0084162776580198E-2</v>
      </c>
      <c r="I4" s="2">
        <v>6.2652994660814896E-3</v>
      </c>
      <c r="J4" s="2">
        <v>-7.9348747968181199E-2</v>
      </c>
      <c r="K4" s="4" t="s">
        <v>17</v>
      </c>
      <c r="L4" s="2">
        <f t="shared" si="0"/>
        <v>0.67780948742454505</v>
      </c>
      <c r="N4" s="1" t="s">
        <v>11</v>
      </c>
      <c r="O4" s="1">
        <f>O3*-1</f>
        <v>-0.25</v>
      </c>
    </row>
    <row r="5" spans="1:15" x14ac:dyDescent="0.25">
      <c r="A5" s="2">
        <v>4.46117452289821E-3</v>
      </c>
      <c r="B5" s="2">
        <v>-6.01528848956734E-2</v>
      </c>
      <c r="C5" s="2">
        <v>6.9113418991357006E-2</v>
      </c>
      <c r="D5" s="2">
        <v>-8.3467635182353801E-3</v>
      </c>
      <c r="E5" s="2">
        <v>0.78099333313108499</v>
      </c>
      <c r="F5" s="2">
        <v>-2.1793222462392701E-2</v>
      </c>
      <c r="G5" s="2">
        <v>2.8857773808526301E-2</v>
      </c>
      <c r="H5" s="2">
        <v>-1.54942909624615E-2</v>
      </c>
      <c r="I5" s="2">
        <v>2.2432420689765201E-2</v>
      </c>
      <c r="J5" s="2">
        <v>2.9417176206831E-2</v>
      </c>
      <c r="K5" s="4" t="s">
        <v>18</v>
      </c>
      <c r="L5" s="2">
        <f t="shared" si="0"/>
        <v>0.78099333313108499</v>
      </c>
    </row>
    <row r="6" spans="1:15" x14ac:dyDescent="0.25">
      <c r="A6" s="2">
        <v>0.13064572549693099</v>
      </c>
      <c r="B6" s="2">
        <v>0.23143932757284399</v>
      </c>
      <c r="C6" s="2">
        <v>0.18507918883448801</v>
      </c>
      <c r="D6" s="2">
        <v>-0.113289704363762</v>
      </c>
      <c r="E6" s="2">
        <v>0.33920872234376098</v>
      </c>
      <c r="F6" s="2">
        <v>2.5986974375097099E-2</v>
      </c>
      <c r="G6" s="2">
        <v>3.3417325858472298E-2</v>
      </c>
      <c r="H6" s="2">
        <v>-9.9671904897345107E-2</v>
      </c>
      <c r="I6" s="2">
        <v>-4.6538890140617697E-2</v>
      </c>
      <c r="J6" s="2">
        <v>-1.6604784841868399E-2</v>
      </c>
      <c r="K6" s="4" t="s">
        <v>19</v>
      </c>
      <c r="L6" s="2">
        <f t="shared" si="0"/>
        <v>0.33920872234376098</v>
      </c>
    </row>
    <row r="7" spans="1:15" x14ac:dyDescent="0.25">
      <c r="A7" s="2">
        <v>-4.1789586703146898E-2</v>
      </c>
      <c r="B7" s="2">
        <v>1.63569620741905E-2</v>
      </c>
      <c r="C7" s="2">
        <v>-8.5148332277493993E-2</v>
      </c>
      <c r="D7" s="2">
        <v>8.6145601323029605E-2</v>
      </c>
      <c r="E7" s="2">
        <v>0.55429631513973998</v>
      </c>
      <c r="F7" s="2">
        <v>3.95470333406868E-2</v>
      </c>
      <c r="G7" s="2">
        <v>7.5981985017581901E-3</v>
      </c>
      <c r="H7" s="2">
        <v>0.30642802929037199</v>
      </c>
      <c r="I7" s="2">
        <v>9.4236766192038607E-3</v>
      </c>
      <c r="J7" s="2">
        <v>0.117564971682712</v>
      </c>
      <c r="K7" s="4" t="s">
        <v>22</v>
      </c>
      <c r="L7" s="2">
        <f t="shared" si="0"/>
        <v>0.55429631513973998</v>
      </c>
    </row>
    <row r="8" spans="1:15" x14ac:dyDescent="0.25">
      <c r="A8" s="2">
        <v>1.9806924287642799E-2</v>
      </c>
      <c r="B8" s="2">
        <v>1.3905601433953901E-2</v>
      </c>
      <c r="C8" s="2">
        <v>0.95690953253479905</v>
      </c>
      <c r="D8" s="2">
        <v>-1.5130955005035401E-2</v>
      </c>
      <c r="E8" s="2">
        <v>-9.9733860159330703E-4</v>
      </c>
      <c r="F8" s="2">
        <v>-6.1114282033456799E-2</v>
      </c>
      <c r="G8" s="2">
        <v>1.51097889041483E-2</v>
      </c>
      <c r="H8" s="2">
        <v>2.7738722453631799E-2</v>
      </c>
      <c r="I8" s="2">
        <v>5.7351653692182701E-3</v>
      </c>
      <c r="J8" s="2">
        <v>2.5513431565001702E-3</v>
      </c>
      <c r="K8" s="4" t="s">
        <v>34</v>
      </c>
      <c r="L8" s="2">
        <f t="shared" si="0"/>
        <v>0.95690953253479905</v>
      </c>
    </row>
    <row r="9" spans="1:15" x14ac:dyDescent="0.25">
      <c r="A9" s="2">
        <v>1.28775649591588E-2</v>
      </c>
      <c r="B9" s="2">
        <v>-2.25267333577364E-2</v>
      </c>
      <c r="C9" s="2">
        <v>0.80038354943578505</v>
      </c>
      <c r="D9" s="2">
        <v>1.07174824025697E-2</v>
      </c>
      <c r="E9" s="2">
        <v>5.0242521038176301E-2</v>
      </c>
      <c r="F9" s="2">
        <v>0.116966241904428</v>
      </c>
      <c r="G9" s="2">
        <v>1.37186585894939E-2</v>
      </c>
      <c r="H9" s="2">
        <v>-2.8417066158772701E-2</v>
      </c>
      <c r="I9" s="2">
        <v>1.44429265784155E-2</v>
      </c>
      <c r="J9" s="2">
        <v>3.6088298991435799E-2</v>
      </c>
      <c r="K9" s="4" t="s">
        <v>37</v>
      </c>
      <c r="L9" s="2">
        <f t="shared" si="0"/>
        <v>0.80038354943578505</v>
      </c>
    </row>
    <row r="10" spans="1:15" x14ac:dyDescent="0.25">
      <c r="A10" s="2">
        <v>-1.6024366312763799E-2</v>
      </c>
      <c r="B10" s="2">
        <v>0.16903697785057201</v>
      </c>
      <c r="C10" s="2">
        <v>0.11122298346480999</v>
      </c>
      <c r="D10" s="2">
        <v>6.4389368634312105E-2</v>
      </c>
      <c r="E10" s="2">
        <v>-2.88252091777936E-2</v>
      </c>
      <c r="F10" s="2">
        <v>1.83132043451797E-2</v>
      </c>
      <c r="G10" s="2">
        <v>0.124120541265478</v>
      </c>
      <c r="H10" s="2">
        <v>0.53757112338739099</v>
      </c>
      <c r="I10" s="2">
        <v>8.4664655590598298E-2</v>
      </c>
      <c r="J10" s="2">
        <v>0.12997358991805399</v>
      </c>
      <c r="K10" s="4" t="s">
        <v>14</v>
      </c>
      <c r="L10" s="2">
        <f t="shared" si="0"/>
        <v>0.53757112338739099</v>
      </c>
    </row>
    <row r="11" spans="1:15" x14ac:dyDescent="0.25">
      <c r="A11" s="2">
        <v>2.1002772129242401E-2</v>
      </c>
      <c r="B11" s="2">
        <v>3.5539616225905E-3</v>
      </c>
      <c r="C11" s="2">
        <v>0.97333103388008801</v>
      </c>
      <c r="D11" s="2">
        <v>-1.85442931937113E-2</v>
      </c>
      <c r="E11" s="2">
        <v>-2.1055560201116999E-2</v>
      </c>
      <c r="F11" s="2">
        <v>-2.7704729791669599E-2</v>
      </c>
      <c r="G11" s="2">
        <v>2.56597705393307E-2</v>
      </c>
      <c r="H11" s="2">
        <v>3.31626521798754E-2</v>
      </c>
      <c r="I11" s="2">
        <v>-5.5178623374853601E-3</v>
      </c>
      <c r="J11" s="2">
        <v>-4.15939296574481E-4</v>
      </c>
      <c r="K11" s="4" t="s">
        <v>15</v>
      </c>
      <c r="L11" s="2">
        <f t="shared" si="0"/>
        <v>0.97333103388008801</v>
      </c>
    </row>
    <row r="12" spans="1:15" x14ac:dyDescent="0.25">
      <c r="A12" s="2">
        <v>9.8343213940594795E-4</v>
      </c>
      <c r="B12" s="2">
        <v>-5.71358301314268E-3</v>
      </c>
      <c r="C12" s="2">
        <v>0.83409598059306</v>
      </c>
      <c r="D12" s="2">
        <v>-1.4022131625479399E-2</v>
      </c>
      <c r="E12" s="2">
        <v>4.0009724361123801E-2</v>
      </c>
      <c r="F12" s="2">
        <v>8.55016930181412E-2</v>
      </c>
      <c r="G12" s="2">
        <v>1.17810284613502E-2</v>
      </c>
      <c r="H12" s="2">
        <v>-3.7776131905789302E-2</v>
      </c>
      <c r="I12" s="2">
        <v>3.10081280064229E-2</v>
      </c>
      <c r="J12" s="2">
        <v>-2.12716282645313E-2</v>
      </c>
      <c r="K12" s="4" t="s">
        <v>24</v>
      </c>
      <c r="L12" s="2">
        <f t="shared" si="0"/>
        <v>0.83409598059306</v>
      </c>
    </row>
    <row r="13" spans="1:15" x14ac:dyDescent="0.25">
      <c r="A13" s="2">
        <v>4.65655653061832E-2</v>
      </c>
      <c r="B13" s="2">
        <v>2.2203639313923301E-2</v>
      </c>
      <c r="C13" s="2">
        <v>0.102154449114863</v>
      </c>
      <c r="D13" s="2">
        <v>-5.7677973373509502E-2</v>
      </c>
      <c r="E13" s="2">
        <v>6.7741847970537603E-2</v>
      </c>
      <c r="F13" s="2">
        <v>1.10504150990224E-3</v>
      </c>
      <c r="G13" s="2">
        <v>0.77206944188190196</v>
      </c>
      <c r="H13" s="2">
        <v>1.4951863515461799E-2</v>
      </c>
      <c r="I13" s="2">
        <v>3.3294554831940402E-2</v>
      </c>
      <c r="J13" s="2">
        <v>-1.7479135880713399E-3</v>
      </c>
      <c r="K13" s="4" t="s">
        <v>38</v>
      </c>
      <c r="L13" s="2">
        <f t="shared" si="0"/>
        <v>0.77206944188190196</v>
      </c>
    </row>
    <row r="14" spans="1:15" x14ac:dyDescent="0.25">
      <c r="A14" s="2">
        <v>2.37546999213861E-2</v>
      </c>
      <c r="B14" s="2">
        <v>1.9368238994599201E-2</v>
      </c>
      <c r="C14" s="2">
        <v>6.0580058980285997E-2</v>
      </c>
      <c r="D14" s="2">
        <v>-5.3509880468171601E-2</v>
      </c>
      <c r="E14" s="2">
        <v>2.7131394021768E-2</v>
      </c>
      <c r="F14" s="2">
        <v>4.9451167602855402E-2</v>
      </c>
      <c r="G14" s="2">
        <v>0.76920658641117701</v>
      </c>
      <c r="H14" s="2">
        <v>-5.4478260160114297E-2</v>
      </c>
      <c r="I14" s="2">
        <v>4.4378125049792702E-2</v>
      </c>
      <c r="J14" s="2">
        <v>-2.5267146792391199E-2</v>
      </c>
      <c r="K14" s="4" t="s">
        <v>28</v>
      </c>
      <c r="L14" s="2">
        <f t="shared" si="0"/>
        <v>0.76920658641117701</v>
      </c>
    </row>
    <row r="15" spans="1:15" x14ac:dyDescent="0.25">
      <c r="A15" s="2">
        <v>0.11775946917637101</v>
      </c>
      <c r="B15" s="2">
        <v>0.26121508882207001</v>
      </c>
      <c r="C15" s="2">
        <v>-0.12965120278376399</v>
      </c>
      <c r="D15" s="2">
        <v>-4.9798021975985901E-2</v>
      </c>
      <c r="E15" s="2">
        <v>0.13244411479181201</v>
      </c>
      <c r="F15" s="2">
        <v>0.102850402135685</v>
      </c>
      <c r="G15" s="2">
        <v>-0.24631792543811201</v>
      </c>
      <c r="H15" s="2">
        <v>0.38493785775245698</v>
      </c>
      <c r="I15" s="2">
        <v>3.6123913734583901E-2</v>
      </c>
      <c r="J15" s="2">
        <v>-6.7800393122511599E-2</v>
      </c>
      <c r="K15" s="4" t="s">
        <v>39</v>
      </c>
      <c r="L15" s="2">
        <f t="shared" si="0"/>
        <v>0.38493785775245698</v>
      </c>
    </row>
    <row r="16" spans="1:15" x14ac:dyDescent="0.25">
      <c r="A16" s="2">
        <v>-7.5097505808246296E-3</v>
      </c>
      <c r="B16" s="2">
        <v>0.307232371437621</v>
      </c>
      <c r="C16" s="2">
        <v>-1.5334766909642699E-2</v>
      </c>
      <c r="D16" s="2">
        <v>1.8170634483297601E-2</v>
      </c>
      <c r="E16" s="2">
        <v>0.135904499196421</v>
      </c>
      <c r="F16" s="2">
        <v>9.0653743281219695E-2</v>
      </c>
      <c r="G16" s="2">
        <v>-0.298303520484339</v>
      </c>
      <c r="H16" s="2">
        <v>0.26737090808802799</v>
      </c>
      <c r="I16" s="2">
        <v>9.9862429284650306E-2</v>
      </c>
      <c r="J16" s="2">
        <v>-4.1317246067412897E-2</v>
      </c>
      <c r="K16" s="4" t="s">
        <v>26</v>
      </c>
      <c r="L16" s="2">
        <f t="shared" si="0"/>
        <v>0.307232371437621</v>
      </c>
    </row>
    <row r="17" spans="1:12" x14ac:dyDescent="0.25">
      <c r="A17" s="2">
        <v>-4.4012326475823101E-2</v>
      </c>
      <c r="B17" s="2">
        <v>3.4001850556871202E-2</v>
      </c>
      <c r="C17" s="2">
        <v>0.15557198948866799</v>
      </c>
      <c r="D17" s="2">
        <v>-9.4526224597076703E-3</v>
      </c>
      <c r="E17" s="2">
        <v>0.18688181111715699</v>
      </c>
      <c r="F17" s="2">
        <v>-3.7533109759314898E-2</v>
      </c>
      <c r="G17" s="2">
        <v>0.274934765996866</v>
      </c>
      <c r="H17" s="2">
        <v>-6.1417780145785597E-2</v>
      </c>
      <c r="I17" s="2">
        <v>0.11607454162031899</v>
      </c>
      <c r="J17" s="2">
        <v>1.45757647147787E-2</v>
      </c>
      <c r="K17" s="4" t="s">
        <v>35</v>
      </c>
      <c r="L17" s="2">
        <f t="shared" si="0"/>
        <v>0.274934765996866</v>
      </c>
    </row>
    <row r="18" spans="1:12" x14ac:dyDescent="0.25">
      <c r="A18" s="2">
        <v>7.5236187457729406E-2</v>
      </c>
      <c r="B18" s="2">
        <v>0.78044723628818902</v>
      </c>
      <c r="C18" s="2">
        <v>-4.5338162117753399E-2</v>
      </c>
      <c r="D18" s="2">
        <v>-4.5613773305700498E-3</v>
      </c>
      <c r="E18" s="2">
        <v>2.94192454080104E-2</v>
      </c>
      <c r="F18" s="2">
        <v>4.2542544769661801E-2</v>
      </c>
      <c r="G18" s="2">
        <v>0.10762286605372599</v>
      </c>
      <c r="H18" s="2">
        <v>-2.1058785175192E-2</v>
      </c>
      <c r="I18" s="2">
        <v>9.3589789194821506E-3</v>
      </c>
      <c r="J18" s="2">
        <v>1.2112695668561599E-3</v>
      </c>
      <c r="K18" s="4" t="s">
        <v>40</v>
      </c>
      <c r="L18" s="2">
        <f t="shared" si="0"/>
        <v>0.78044723628818902</v>
      </c>
    </row>
    <row r="19" spans="1:12" x14ac:dyDescent="0.25">
      <c r="A19" s="2">
        <v>6.83296910959761E-2</v>
      </c>
      <c r="B19" s="2">
        <v>-0.17880476961559399</v>
      </c>
      <c r="C19" s="2">
        <v>-9.6700384608457104E-2</v>
      </c>
      <c r="D19" s="2">
        <v>-7.4934401985022506E-2</v>
      </c>
      <c r="E19" s="2">
        <v>5.5706456075634903E-2</v>
      </c>
      <c r="F19" s="2">
        <v>0.19737216006556799</v>
      </c>
      <c r="G19" s="2">
        <v>0.29291391288087798</v>
      </c>
      <c r="H19" s="2">
        <v>5.67226878649476E-2</v>
      </c>
      <c r="I19" s="2">
        <v>3.81522327907391E-2</v>
      </c>
      <c r="J19" s="2">
        <v>-3.5414083437693603E-2</v>
      </c>
      <c r="K19" s="4" t="s">
        <v>33</v>
      </c>
      <c r="L19" s="2">
        <f t="shared" si="0"/>
        <v>0.29291391288087798</v>
      </c>
    </row>
    <row r="20" spans="1:12" x14ac:dyDescent="0.25">
      <c r="A20" s="2">
        <v>-3.0062284936631899E-3</v>
      </c>
      <c r="B20" s="2">
        <v>0.95972491587425501</v>
      </c>
      <c r="C20" s="2">
        <v>-3.7851693087505101E-3</v>
      </c>
      <c r="D20" s="2">
        <v>5.7426352320860304E-3</v>
      </c>
      <c r="E20" s="2">
        <v>-2.09998771841125E-2</v>
      </c>
      <c r="F20" s="2">
        <v>-1.8645842255817301E-2</v>
      </c>
      <c r="G20" s="2">
        <v>-3.4905900479950402E-2</v>
      </c>
      <c r="H20" s="2">
        <v>-5.9323834689351602E-2</v>
      </c>
      <c r="I20" s="2">
        <v>6.8061054134983699E-3</v>
      </c>
      <c r="J20" s="2">
        <v>-6.6704291132536602E-3</v>
      </c>
      <c r="K20" s="4" t="s">
        <v>27</v>
      </c>
      <c r="L20" s="2">
        <f t="shared" si="0"/>
        <v>0.95972491587425501</v>
      </c>
    </row>
    <row r="21" spans="1:12" x14ac:dyDescent="0.25">
      <c r="A21" s="2">
        <v>1.3578870047430599E-2</v>
      </c>
      <c r="B21" s="2">
        <v>-0.211118340925503</v>
      </c>
      <c r="C21" s="2">
        <v>0.34943000028878701</v>
      </c>
      <c r="D21" s="2">
        <v>1.7657253910577798E-2</v>
      </c>
      <c r="E21" s="2">
        <v>5.84057818594187E-2</v>
      </c>
      <c r="F21" s="2">
        <v>0.27376294593596101</v>
      </c>
      <c r="G21" s="2">
        <v>0.13581250033807199</v>
      </c>
      <c r="H21" s="2">
        <v>4.27059230968454E-2</v>
      </c>
      <c r="I21" s="2">
        <v>4.4674619684676203E-2</v>
      </c>
      <c r="J21" s="2">
        <v>-6.4350768980628803E-2</v>
      </c>
      <c r="K21" s="4" t="s">
        <v>41</v>
      </c>
      <c r="L21" s="2">
        <f t="shared" si="0"/>
        <v>0.34943000028878701</v>
      </c>
    </row>
    <row r="22" spans="1:12" x14ac:dyDescent="0.25">
      <c r="A22" s="2">
        <v>-8.6567477740011195E-2</v>
      </c>
      <c r="B22" s="2">
        <v>0.58839132351170398</v>
      </c>
      <c r="C22" s="2">
        <v>0.103553544778515</v>
      </c>
      <c r="D22" s="2">
        <v>1.51110828800989E-3</v>
      </c>
      <c r="E22" s="2">
        <v>-3.5559381934564697E-2</v>
      </c>
      <c r="F22" s="2">
        <v>1.55375297882758E-3</v>
      </c>
      <c r="G22" s="2">
        <v>-1.8449954391595299E-2</v>
      </c>
      <c r="H22" s="2">
        <v>0.31772892221323901</v>
      </c>
      <c r="I22" s="2">
        <v>4.9167279174468698E-2</v>
      </c>
      <c r="J22" s="2">
        <v>4.5554603837648699E-2</v>
      </c>
      <c r="K22" s="4" t="s">
        <v>42</v>
      </c>
      <c r="L22" s="2">
        <f t="shared" si="0"/>
        <v>0.58839132351170398</v>
      </c>
    </row>
    <row r="23" spans="1:12" x14ac:dyDescent="0.25">
      <c r="A23" s="2">
        <v>0.92127199751115896</v>
      </c>
      <c r="B23" s="2">
        <v>-7.9571248890300903E-3</v>
      </c>
      <c r="C23" s="2">
        <v>6.2107377233850999E-2</v>
      </c>
      <c r="D23" s="2">
        <v>2.7738911946758E-2</v>
      </c>
      <c r="E23" s="2">
        <v>2.2545439604566501E-2</v>
      </c>
      <c r="F23" s="2">
        <v>5.5370522015816097E-3</v>
      </c>
      <c r="G23" s="2">
        <v>1.4391310225279501E-2</v>
      </c>
      <c r="H23" s="2">
        <v>-4.6253297764222302E-2</v>
      </c>
      <c r="I23" s="2">
        <v>4.2422673698428601E-2</v>
      </c>
      <c r="J23" s="2">
        <v>3.35165661918361E-2</v>
      </c>
      <c r="K23" s="4" t="s">
        <v>43</v>
      </c>
      <c r="L23" s="2">
        <f t="shared" si="0"/>
        <v>0.92127199751115896</v>
      </c>
    </row>
    <row r="24" spans="1:12" x14ac:dyDescent="0.25">
      <c r="A24" s="2">
        <v>7.3718733883734802E-2</v>
      </c>
      <c r="B24" s="2">
        <v>2.0530220720254601E-2</v>
      </c>
      <c r="C24" s="2">
        <v>2.6946038728915801E-2</v>
      </c>
      <c r="D24" s="2">
        <v>-3.1802832854755099E-3</v>
      </c>
      <c r="E24" s="2">
        <v>4.6672312921323001E-4</v>
      </c>
      <c r="F24" s="2">
        <v>-1.52220636026499E-2</v>
      </c>
      <c r="G24" s="2">
        <v>-1.2469321797487399E-2</v>
      </c>
      <c r="H24" s="2">
        <v>-1.0203204248294699E-3</v>
      </c>
      <c r="I24" s="2">
        <v>0.89998290513633505</v>
      </c>
      <c r="J24" s="2">
        <v>-5.46006205862027E-3</v>
      </c>
      <c r="K24" s="4" t="s">
        <v>44</v>
      </c>
      <c r="L24" s="2">
        <f t="shared" si="0"/>
        <v>0.89998290513633505</v>
      </c>
    </row>
    <row r="25" spans="1:12" x14ac:dyDescent="0.25">
      <c r="A25" s="2">
        <v>0.88262558281900905</v>
      </c>
      <c r="B25" s="2">
        <v>-2.4288622065441498E-3</v>
      </c>
      <c r="C25" s="2">
        <v>4.2278892814948697E-2</v>
      </c>
      <c r="D25" s="2">
        <v>-4.2280974422698001E-2</v>
      </c>
      <c r="E25" s="2">
        <v>1.4308486195410201E-2</v>
      </c>
      <c r="F25" s="2">
        <v>-1.86513621228159E-3</v>
      </c>
      <c r="G25" s="2">
        <v>8.3657315851632906E-3</v>
      </c>
      <c r="H25" s="2">
        <v>-5.7488691280440797E-2</v>
      </c>
      <c r="I25" s="2">
        <v>5.2042980537985402E-2</v>
      </c>
      <c r="J25" s="2">
        <v>1.07920550423214E-2</v>
      </c>
      <c r="K25" s="4" t="s">
        <v>45</v>
      </c>
      <c r="L25" s="2">
        <f t="shared" si="0"/>
        <v>0.88262558281900905</v>
      </c>
    </row>
    <row r="26" spans="1:12" x14ac:dyDescent="0.25">
      <c r="A26" s="2">
        <v>0.198244160459495</v>
      </c>
      <c r="B26" s="2">
        <v>-7.6359592607345997E-2</v>
      </c>
      <c r="C26" s="2">
        <v>-7.6880897687075594E-2</v>
      </c>
      <c r="D26" s="2">
        <v>-0.152983903466545</v>
      </c>
      <c r="E26" s="2">
        <v>-3.8057953069513303E-2</v>
      </c>
      <c r="F26" s="2">
        <v>3.5609652129057402E-2</v>
      </c>
      <c r="G26" s="2">
        <v>0.12900762118589701</v>
      </c>
      <c r="H26" s="2">
        <v>0.114130385830348</v>
      </c>
      <c r="I26" s="2">
        <v>0.35561477056427498</v>
      </c>
      <c r="J26" s="2">
        <v>-6.7084249946511895E-2</v>
      </c>
      <c r="K26" s="4" t="s">
        <v>30</v>
      </c>
      <c r="L26" s="2">
        <f t="shared" si="0"/>
        <v>0.35561477056427498</v>
      </c>
    </row>
    <row r="27" spans="1:12" x14ac:dyDescent="0.25">
      <c r="A27" s="2">
        <v>-6.2852835877991202E-3</v>
      </c>
      <c r="B27" s="2">
        <v>4.2499249455810298E-5</v>
      </c>
      <c r="C27" s="2">
        <v>-2.7771794305745398E-3</v>
      </c>
      <c r="D27" s="2">
        <v>-1.9006669020652199E-2</v>
      </c>
      <c r="E27" s="2">
        <v>-3.8872304882579698E-3</v>
      </c>
      <c r="F27" s="2">
        <v>3.9915181634152502E-2</v>
      </c>
      <c r="G27" s="2">
        <v>1.1806091581953299E-2</v>
      </c>
      <c r="H27" s="2">
        <v>-3.6151433805366701E-2</v>
      </c>
      <c r="I27" s="2">
        <v>0.96722295667365898</v>
      </c>
      <c r="J27" s="2">
        <v>-1.2943020212566599E-2</v>
      </c>
      <c r="K27" s="4" t="s">
        <v>31</v>
      </c>
      <c r="L27" s="2">
        <f t="shared" si="0"/>
        <v>0.96722295667365898</v>
      </c>
    </row>
    <row r="28" spans="1:12" x14ac:dyDescent="0.25">
      <c r="A28" s="2">
        <v>0.65111386350796197</v>
      </c>
      <c r="B28" s="2">
        <v>7.1718614810604903E-2</v>
      </c>
      <c r="C28" s="2">
        <v>-9.97330586850389E-2</v>
      </c>
      <c r="D28" s="2">
        <v>-3.48059568233023E-2</v>
      </c>
      <c r="E28" s="2">
        <v>-3.9682357617625799E-2</v>
      </c>
      <c r="F28" s="2">
        <v>4.4772361408647703E-2</v>
      </c>
      <c r="G28" s="2">
        <v>2.8888102156722401E-2</v>
      </c>
      <c r="H28" s="2">
        <v>0.28616195140531397</v>
      </c>
      <c r="I28" s="2">
        <v>0.120878986387446</v>
      </c>
      <c r="J28" s="2">
        <v>-4.6811415443970703E-2</v>
      </c>
      <c r="K28" s="4" t="s">
        <v>21</v>
      </c>
      <c r="L28" s="2">
        <f t="shared" si="0"/>
        <v>0.65111386350796197</v>
      </c>
    </row>
    <row r="29" spans="1:12" x14ac:dyDescent="0.25">
      <c r="A29" s="2">
        <v>0.14693377828753801</v>
      </c>
      <c r="B29" s="2">
        <v>-2.0185270527888498E-2</v>
      </c>
      <c r="C29" s="2">
        <v>0.10069315074924</v>
      </c>
      <c r="D29" s="2">
        <v>7.8578582424570206E-2</v>
      </c>
      <c r="E29" s="2">
        <v>0.18966708974803201</v>
      </c>
      <c r="F29" s="2">
        <v>-2.1939253540586401E-2</v>
      </c>
      <c r="G29" s="2">
        <v>0.117139711622695</v>
      </c>
      <c r="H29" s="2">
        <v>0.14895761336476801</v>
      </c>
      <c r="I29" s="2">
        <v>0.14530324827938401</v>
      </c>
      <c r="J29" s="2">
        <v>0.34910906259379698</v>
      </c>
      <c r="K29" s="4" t="s">
        <v>46</v>
      </c>
      <c r="L29" s="2">
        <f t="shared" si="0"/>
        <v>0.34910906259379698</v>
      </c>
    </row>
    <row r="30" spans="1:12" x14ac:dyDescent="0.25">
      <c r="A30" s="2">
        <v>0.15816248760484</v>
      </c>
      <c r="B30" s="2">
        <v>5.1255786310617099E-2</v>
      </c>
      <c r="C30" s="2">
        <v>-0.11867863161924699</v>
      </c>
      <c r="D30" s="2">
        <v>1.3228039115616E-2</v>
      </c>
      <c r="E30" s="2">
        <v>8.8343733991520998E-2</v>
      </c>
      <c r="F30" s="2">
        <v>-3.70280995766867E-2</v>
      </c>
      <c r="G30" s="2">
        <v>7.1633204600627699E-3</v>
      </c>
      <c r="H30" s="2">
        <v>0.59628809133664495</v>
      </c>
      <c r="I30" s="2">
        <v>8.5606004870811395E-2</v>
      </c>
      <c r="J30" s="2">
        <v>8.4818719454648098E-2</v>
      </c>
      <c r="K30" s="4" t="s">
        <v>25</v>
      </c>
      <c r="L30" s="2">
        <f t="shared" si="0"/>
        <v>0.59628809133664495</v>
      </c>
    </row>
    <row r="31" spans="1:12" x14ac:dyDescent="0.25">
      <c r="A31" s="2">
        <v>8.4388726302969494E-2</v>
      </c>
      <c r="B31" s="2">
        <v>-7.7452351498147299E-4</v>
      </c>
      <c r="C31" s="2">
        <v>3.4985838886883898E-2</v>
      </c>
      <c r="D31" s="2">
        <v>5.3033612707017098E-2</v>
      </c>
      <c r="E31" s="2">
        <v>0.13811524691653301</v>
      </c>
      <c r="F31" s="2">
        <v>-0.120938787354355</v>
      </c>
      <c r="G31" s="2">
        <v>0.14619675863956699</v>
      </c>
      <c r="H31" s="2">
        <v>0.188773384049057</v>
      </c>
      <c r="I31" s="2">
        <v>0.35259532272046201</v>
      </c>
      <c r="J31" s="2">
        <v>0.28299849631468699</v>
      </c>
      <c r="K31" s="4" t="s">
        <v>47</v>
      </c>
      <c r="L31" s="2">
        <f t="shared" si="0"/>
        <v>0.35259532272046201</v>
      </c>
    </row>
    <row r="32" spans="1:12" x14ac:dyDescent="0.25">
      <c r="A32" s="2">
        <v>5.2205326767142103E-2</v>
      </c>
      <c r="B32" s="2">
        <v>3.55620437495333E-3</v>
      </c>
      <c r="C32" s="2">
        <v>0.128884668384978</v>
      </c>
      <c r="D32" s="2">
        <v>-7.8529707657974498E-2</v>
      </c>
      <c r="E32" s="2">
        <v>4.2747870419859897E-2</v>
      </c>
      <c r="F32" s="2">
        <v>0.70816562027658603</v>
      </c>
      <c r="G32" s="2">
        <v>1.87701249499421E-2</v>
      </c>
      <c r="H32" s="2">
        <v>-0.134036784950509</v>
      </c>
      <c r="I32" s="2">
        <v>7.4031942446767404E-2</v>
      </c>
      <c r="J32" s="2">
        <v>-2.0578934791933901E-2</v>
      </c>
      <c r="K32" s="4" t="s">
        <v>16</v>
      </c>
      <c r="L32" s="2">
        <f t="shared" si="0"/>
        <v>0.70816562027658603</v>
      </c>
    </row>
    <row r="33" spans="1:12" x14ac:dyDescent="0.25">
      <c r="A33" s="2">
        <v>0.14287035693866099</v>
      </c>
      <c r="B33" s="2">
        <v>1.5994349669077999E-2</v>
      </c>
      <c r="C33" s="2">
        <v>2.7881137566231801E-2</v>
      </c>
      <c r="D33" s="2">
        <v>1.3749517700468001E-2</v>
      </c>
      <c r="E33" s="2">
        <v>0.15686400586643301</v>
      </c>
      <c r="F33" s="2">
        <v>0.57674160441276201</v>
      </c>
      <c r="G33" s="2">
        <v>5.5027974000919098E-2</v>
      </c>
      <c r="H33" s="2">
        <v>-4.2074593728470304E-3</v>
      </c>
      <c r="I33" s="2">
        <v>0.103190514971159</v>
      </c>
      <c r="J33" s="2">
        <v>7.20665307517174E-2</v>
      </c>
      <c r="K33" s="4" t="s">
        <v>23</v>
      </c>
      <c r="L33" s="2">
        <f t="shared" si="0"/>
        <v>0.57674160441276201</v>
      </c>
    </row>
    <row r="34" spans="1:12" x14ac:dyDescent="0.25">
      <c r="A34" s="2">
        <v>9.2910182123093099E-2</v>
      </c>
      <c r="B34" s="2">
        <v>-0.100426257013797</v>
      </c>
      <c r="C34" s="2">
        <v>5.5482924265514003E-2</v>
      </c>
      <c r="D34" s="2">
        <v>-0.18733283492667799</v>
      </c>
      <c r="E34" s="2">
        <v>-6.10611958453499E-2</v>
      </c>
      <c r="F34" s="2">
        <v>0.37305591832275198</v>
      </c>
      <c r="G34" s="2">
        <v>0.21621340439454401</v>
      </c>
      <c r="H34" s="2">
        <v>0.14561161378364801</v>
      </c>
      <c r="I34" s="2">
        <v>-5.91158018325669E-2</v>
      </c>
      <c r="J34" s="2">
        <v>0.164243980021645</v>
      </c>
      <c r="K34" s="4" t="s">
        <v>48</v>
      </c>
      <c r="L34" s="2">
        <f t="shared" si="0"/>
        <v>0.37305591832275198</v>
      </c>
    </row>
    <row r="35" spans="1:12" x14ac:dyDescent="0.25">
      <c r="A35" s="2">
        <v>-5.9751907109051899E-2</v>
      </c>
      <c r="B35" s="2">
        <v>0.22640213643242399</v>
      </c>
      <c r="C35" s="2">
        <v>-8.5339364737286899E-2</v>
      </c>
      <c r="D35" s="2">
        <v>-0.14343377062361701</v>
      </c>
      <c r="E35" s="2">
        <v>-8.5236320998081205E-2</v>
      </c>
      <c r="F35" s="2">
        <v>8.4838882736813503E-2</v>
      </c>
      <c r="G35" s="2">
        <v>0.18788596419328599</v>
      </c>
      <c r="H35" s="2">
        <v>0.41743469832402602</v>
      </c>
      <c r="I35" s="2">
        <v>-6.0014993852519197E-2</v>
      </c>
      <c r="J35" s="2">
        <v>8.2912076105985499E-2</v>
      </c>
      <c r="K35" s="4" t="s">
        <v>49</v>
      </c>
      <c r="L35" s="2">
        <f t="shared" si="0"/>
        <v>0.41743469832402602</v>
      </c>
    </row>
    <row r="36" spans="1:12" x14ac:dyDescent="0.25">
      <c r="A36" s="2">
        <v>7.2737927876245001E-2</v>
      </c>
      <c r="B36" s="2">
        <v>-1.8422393066842999E-2</v>
      </c>
      <c r="C36" s="2">
        <v>0.107319754154997</v>
      </c>
      <c r="D36" s="2">
        <v>-0.58127027027717404</v>
      </c>
      <c r="E36" s="2">
        <v>3.0767965719086299E-2</v>
      </c>
      <c r="F36" s="2">
        <v>0.212976248495441</v>
      </c>
      <c r="G36" s="2">
        <v>4.4958704166231198E-2</v>
      </c>
      <c r="H36" s="2">
        <v>-3.5166802277426701E-3</v>
      </c>
      <c r="I36" s="2">
        <v>2.39279700455894E-2</v>
      </c>
      <c r="J36" s="2">
        <v>6.4781487805708998E-2</v>
      </c>
      <c r="K36" s="4" t="s">
        <v>36</v>
      </c>
      <c r="L36" s="2">
        <f t="shared" si="0"/>
        <v>0.58127027027717404</v>
      </c>
    </row>
    <row r="37" spans="1:12" x14ac:dyDescent="0.25">
      <c r="A37" s="2">
        <v>1.72101274886973E-2</v>
      </c>
      <c r="B37" s="2">
        <v>5.6017591993676501E-2</v>
      </c>
      <c r="C37" s="2">
        <v>8.5328322702135501E-2</v>
      </c>
      <c r="D37" s="2">
        <v>-0.56666370488483597</v>
      </c>
      <c r="E37" s="2">
        <v>7.63129919372912E-2</v>
      </c>
      <c r="F37" s="2">
        <v>5.6453124789241103E-2</v>
      </c>
      <c r="G37" s="2">
        <v>0.14060351067554799</v>
      </c>
      <c r="H37" s="2">
        <v>-2.1250668442476701E-3</v>
      </c>
      <c r="I37" s="2">
        <v>-3.0363076148174802E-2</v>
      </c>
      <c r="J37" s="2">
        <v>-7.6715331427425607E-2</v>
      </c>
      <c r="K37" s="4" t="s">
        <v>50</v>
      </c>
      <c r="L37" s="2">
        <f t="shared" si="0"/>
        <v>0.56666370488483597</v>
      </c>
    </row>
    <row r="38" spans="1:12" x14ac:dyDescent="0.25">
      <c r="A38" s="2">
        <v>-2.1541533420636499E-2</v>
      </c>
      <c r="B38" s="2">
        <v>-5.5082824517621301E-3</v>
      </c>
      <c r="C38" s="2">
        <v>2.6705505033332501E-2</v>
      </c>
      <c r="D38" s="2">
        <v>-0.83586906207840805</v>
      </c>
      <c r="E38" s="2">
        <v>6.72454619306459E-2</v>
      </c>
      <c r="F38" s="2">
        <v>1.23152925413023E-2</v>
      </c>
      <c r="G38" s="2">
        <v>7.2872830704139704E-2</v>
      </c>
      <c r="H38" s="2">
        <v>4.0086372094331399E-2</v>
      </c>
      <c r="I38" s="2">
        <v>4.1659371157598699E-2</v>
      </c>
      <c r="J38" s="2">
        <v>-4.4726404573800699E-2</v>
      </c>
      <c r="K38" s="4" t="s">
        <v>51</v>
      </c>
      <c r="L38" s="2">
        <f t="shared" si="0"/>
        <v>0.83586906207840805</v>
      </c>
    </row>
    <row r="39" spans="1:12" x14ac:dyDescent="0.25">
      <c r="A39" s="2">
        <v>1.6830833474425901E-2</v>
      </c>
      <c r="B39" s="2">
        <v>-3.5927823025235499E-2</v>
      </c>
      <c r="C39" s="2">
        <v>2.0130515846250099E-2</v>
      </c>
      <c r="D39" s="2">
        <v>-0.62902970606486597</v>
      </c>
      <c r="E39" s="2">
        <v>2.28405509147823E-2</v>
      </c>
      <c r="F39" s="2">
        <v>4.3313409563291098E-2</v>
      </c>
      <c r="G39" s="2">
        <v>-6.3049572779500601E-2</v>
      </c>
      <c r="H39" s="2">
        <v>-4.1731746722447297E-2</v>
      </c>
      <c r="I39" s="2">
        <v>9.5727161132123498E-2</v>
      </c>
      <c r="J39" s="2">
        <v>0.39276411380434001</v>
      </c>
      <c r="K39" s="4" t="s">
        <v>20</v>
      </c>
      <c r="L39" s="2">
        <f t="shared" si="0"/>
        <v>0.62902970606486597</v>
      </c>
    </row>
    <row r="40" spans="1:12" x14ac:dyDescent="0.25">
      <c r="A40" s="2">
        <v>4.5891462622936398E-2</v>
      </c>
      <c r="B40" s="2">
        <v>1.2230637424195501E-2</v>
      </c>
      <c r="C40" s="2">
        <v>2.01868432075261E-2</v>
      </c>
      <c r="D40" s="2">
        <v>-0.87797108038215699</v>
      </c>
      <c r="E40" s="2">
        <v>4.75235654654153E-2</v>
      </c>
      <c r="F40" s="2">
        <v>-3.8409175312871302E-2</v>
      </c>
      <c r="G40" s="2">
        <v>1.36725240220292E-2</v>
      </c>
      <c r="H40" s="2">
        <v>1.8242024747806E-2</v>
      </c>
      <c r="I40" s="2">
        <v>2.2802796367802601E-2</v>
      </c>
      <c r="J40" s="2">
        <v>1.4938509393916499E-2</v>
      </c>
      <c r="K40" s="4" t="s">
        <v>52</v>
      </c>
      <c r="L40" s="2">
        <f t="shared" si="0"/>
        <v>0.87797108038215699</v>
      </c>
    </row>
    <row r="41" spans="1:12" x14ac:dyDescent="0.25">
      <c r="A41" s="2">
        <v>-3.2375586846218697E-2</v>
      </c>
      <c r="B41" s="2">
        <v>8.2547414088123897E-2</v>
      </c>
      <c r="C41" s="2">
        <v>8.4284137531557696E-2</v>
      </c>
      <c r="D41" s="2">
        <v>5.2114773977498703E-2</v>
      </c>
      <c r="E41" s="2">
        <v>5.9217168991021604E-3</v>
      </c>
      <c r="F41" s="2">
        <v>0.510962559378346</v>
      </c>
      <c r="G41" s="2">
        <v>-8.2944802585142707E-3</v>
      </c>
      <c r="H41" s="2">
        <v>0.25238024265861803</v>
      </c>
      <c r="I41" s="2">
        <v>1.42936195594994E-2</v>
      </c>
      <c r="J41" s="2">
        <v>8.9653149318009703E-2</v>
      </c>
      <c r="K41" s="4" t="s">
        <v>53</v>
      </c>
      <c r="L41" s="2">
        <f t="shared" si="0"/>
        <v>0.510962559378346</v>
      </c>
    </row>
    <row r="42" spans="1:12" x14ac:dyDescent="0.25">
      <c r="A42" s="2">
        <v>0.289581182442952</v>
      </c>
      <c r="B42" s="2">
        <v>0.131879358692474</v>
      </c>
      <c r="C42" s="2">
        <v>-3.03509522405262E-2</v>
      </c>
      <c r="D42" s="2">
        <v>-2.8189588264204899E-2</v>
      </c>
      <c r="E42" s="2">
        <v>-7.0856074287982199E-3</v>
      </c>
      <c r="F42" s="2">
        <v>0.39446702167418601</v>
      </c>
      <c r="G42" s="2">
        <v>4.5316281026929403E-2</v>
      </c>
      <c r="H42" s="2">
        <v>0.258708652398704</v>
      </c>
      <c r="I42" s="2">
        <v>-3.4425571544122097E-2</v>
      </c>
      <c r="J42" s="2">
        <v>-4.6812641663448402E-2</v>
      </c>
      <c r="K42" s="4" t="s">
        <v>54</v>
      </c>
      <c r="L42" s="2">
        <f t="shared" si="0"/>
        <v>0.39446702167418601</v>
      </c>
    </row>
    <row r="43" spans="1:12" x14ac:dyDescent="0.25">
      <c r="A43" s="2">
        <v>-4.2617659405441597E-3</v>
      </c>
      <c r="B43" s="2">
        <v>-2.6606607642600398E-3</v>
      </c>
      <c r="C43" s="2">
        <v>2.79153010585147E-2</v>
      </c>
      <c r="D43" s="2">
        <v>-6.4074891381261101E-2</v>
      </c>
      <c r="E43" s="2">
        <v>9.0678153898612002E-2</v>
      </c>
      <c r="F43" s="2">
        <v>7.2027874182849297E-3</v>
      </c>
      <c r="G43" s="2">
        <v>-0.13282145832359099</v>
      </c>
      <c r="H43" s="2">
        <v>0.64109288914453</v>
      </c>
      <c r="I43" s="2">
        <v>-2.1126199587451502E-3</v>
      </c>
      <c r="J43" s="2">
        <v>-0.120411856310256</v>
      </c>
      <c r="K43" s="4" t="s">
        <v>29</v>
      </c>
      <c r="L43" s="2">
        <f t="shared" si="0"/>
        <v>0.64109288914453</v>
      </c>
    </row>
    <row r="44" spans="1:12" x14ac:dyDescent="0.25">
      <c r="A44" s="2">
        <v>4.9893144248841102E-4</v>
      </c>
      <c r="B44" s="2">
        <v>7.0587312933368895E-2</v>
      </c>
      <c r="C44" s="2">
        <v>5.2192378521977403E-2</v>
      </c>
      <c r="D44" s="2">
        <v>-1.7419111577168401E-2</v>
      </c>
      <c r="E44" s="2">
        <v>0.150392808628802</v>
      </c>
      <c r="F44" s="2">
        <v>0.10027111040634699</v>
      </c>
      <c r="G44" s="2">
        <v>-5.48455227562097E-2</v>
      </c>
      <c r="H44" s="2">
        <v>0.50276552514811901</v>
      </c>
      <c r="I44" s="2">
        <v>-1.4413546832837E-2</v>
      </c>
      <c r="J44" s="2">
        <v>9.5515844988668899E-2</v>
      </c>
      <c r="K44" s="4" t="s">
        <v>55</v>
      </c>
      <c r="L44" s="2">
        <f t="shared" si="0"/>
        <v>0.50276552514811901</v>
      </c>
    </row>
    <row r="45" spans="1:12" x14ac:dyDescent="0.25">
      <c r="A45" s="2">
        <v>5.7038814523184697E-2</v>
      </c>
      <c r="B45" s="2">
        <v>0.17424878003143299</v>
      </c>
      <c r="C45" s="2">
        <v>-1.1278199870416601E-2</v>
      </c>
      <c r="D45" s="2">
        <v>-2.5309190747710798E-2</v>
      </c>
      <c r="E45" s="2">
        <v>3.3984757873561401E-3</v>
      </c>
      <c r="F45" s="2">
        <v>0.12635820738672099</v>
      </c>
      <c r="G45" s="2">
        <v>-6.6303960137839693E-2</v>
      </c>
      <c r="H45" s="2">
        <v>0.46607969074744099</v>
      </c>
      <c r="I45" s="2">
        <v>-0.106029228476526</v>
      </c>
      <c r="J45" s="2">
        <v>1.50639609296004E-2</v>
      </c>
      <c r="K45" s="4" t="s">
        <v>56</v>
      </c>
      <c r="L45" s="2">
        <f t="shared" si="0"/>
        <v>0.46607969074744099</v>
      </c>
    </row>
    <row r="46" spans="1:12" x14ac:dyDescent="0.25">
      <c r="A46" s="2">
        <v>0.115247992660251</v>
      </c>
      <c r="B46" s="2">
        <v>9.0824920001790904E-2</v>
      </c>
      <c r="C46" s="2">
        <v>-1.4722042249052301E-2</v>
      </c>
      <c r="D46" s="2">
        <v>-8.0046796342654103E-2</v>
      </c>
      <c r="E46" s="2">
        <v>0.14836833382215101</v>
      </c>
      <c r="F46" s="2">
        <v>0.183104573081594</v>
      </c>
      <c r="G46" s="2">
        <v>0.168707400469711</v>
      </c>
      <c r="H46" s="2">
        <v>0.175959732315078</v>
      </c>
      <c r="I46" s="2">
        <v>3.4012099009120798E-2</v>
      </c>
      <c r="J46" s="2">
        <v>0.19367747032264501</v>
      </c>
      <c r="K46" s="4" t="s">
        <v>57</v>
      </c>
      <c r="L46" s="2">
        <f t="shared" si="0"/>
        <v>0.19367747032264501</v>
      </c>
    </row>
    <row r="47" spans="1:12" x14ac:dyDescent="0.25">
      <c r="A47" s="2">
        <v>-7.6858474765343299E-2</v>
      </c>
      <c r="B47" s="2">
        <v>3.9429783099681502E-2</v>
      </c>
      <c r="C47" s="2">
        <v>0.119661376123486</v>
      </c>
      <c r="D47" s="2">
        <v>-0.14669268290673301</v>
      </c>
      <c r="E47" s="2">
        <v>7.9004567784299498E-2</v>
      </c>
      <c r="F47" s="2">
        <v>0.50577041646302801</v>
      </c>
      <c r="G47" s="2">
        <v>3.0869577748008799E-2</v>
      </c>
      <c r="H47" s="2">
        <v>5.4722369011755499E-2</v>
      </c>
      <c r="I47" s="2">
        <v>0.12995075991461</v>
      </c>
      <c r="J47" s="2">
        <v>4.43010253516741E-2</v>
      </c>
      <c r="K47" s="4" t="s">
        <v>58</v>
      </c>
      <c r="L47" s="2">
        <f t="shared" si="0"/>
        <v>0.50577041646302801</v>
      </c>
    </row>
    <row r="48" spans="1:12" x14ac:dyDescent="0.25">
      <c r="A48" s="2">
        <v>0.134243809181712</v>
      </c>
      <c r="B48" s="2">
        <v>4.1043807269775197E-2</v>
      </c>
      <c r="C48" s="2">
        <v>3.9776939003373299E-2</v>
      </c>
      <c r="D48" s="2">
        <v>-0.33599409128186902</v>
      </c>
      <c r="E48" s="2">
        <v>3.5988597504890397E-2</v>
      </c>
      <c r="F48" s="2">
        <v>0.12606728171530199</v>
      </c>
      <c r="G48" s="2">
        <v>-3.7396073184836599E-2</v>
      </c>
      <c r="H48" s="2">
        <v>-8.8052932902941597E-2</v>
      </c>
      <c r="I48" s="2">
        <v>-3.0825734968556E-3</v>
      </c>
      <c r="J48" s="2">
        <v>0.56247931737876999</v>
      </c>
      <c r="K48" s="4" t="s">
        <v>32</v>
      </c>
      <c r="L48" s="2">
        <f t="shared" si="0"/>
        <v>0.56247931737876999</v>
      </c>
    </row>
    <row r="49" spans="1:12" x14ac:dyDescent="0.25">
      <c r="A49" s="2">
        <v>-1.22900768869381E-2</v>
      </c>
      <c r="B49" s="2">
        <v>8.6448033796401993E-2</v>
      </c>
      <c r="C49" s="2">
        <v>0.13150485127825901</v>
      </c>
      <c r="D49" s="2">
        <v>-8.6224926066345201E-2</v>
      </c>
      <c r="E49" s="2">
        <v>1.1764647699511801E-2</v>
      </c>
      <c r="F49" s="2">
        <v>7.4760887686962499E-2</v>
      </c>
      <c r="G49" s="2">
        <v>-0.28441561668342602</v>
      </c>
      <c r="H49" s="2">
        <v>0.53253629823931603</v>
      </c>
      <c r="I49" s="2">
        <v>-4.74113082536744E-2</v>
      </c>
      <c r="J49" s="2">
        <v>-0.11965913595564</v>
      </c>
      <c r="K49" s="4" t="s">
        <v>59</v>
      </c>
      <c r="L49" s="2">
        <f t="shared" si="0"/>
        <v>0.53253629823931603</v>
      </c>
    </row>
    <row r="50" spans="1:12" x14ac:dyDescent="0.25">
      <c r="A50" s="2">
        <v>-1.1477022215851101E-2</v>
      </c>
      <c r="B50" s="2">
        <v>-4.5940044782172798E-2</v>
      </c>
      <c r="C50" s="2">
        <v>0.12728783802904101</v>
      </c>
      <c r="D50" s="2">
        <v>-9.5409732583979598E-2</v>
      </c>
      <c r="E50" s="2">
        <v>0.219773859581543</v>
      </c>
      <c r="F50" s="2">
        <v>0.181707339431913</v>
      </c>
      <c r="G50" s="2">
        <v>-2.0005942324133399E-2</v>
      </c>
      <c r="H50" s="2">
        <v>2.7181873296535E-2</v>
      </c>
      <c r="I50" s="2">
        <v>0.17890351211515301</v>
      </c>
      <c r="J50" s="2">
        <v>-8.1372518355771306E-2</v>
      </c>
      <c r="K50" s="4" t="s">
        <v>60</v>
      </c>
      <c r="L50" s="2">
        <f t="shared" si="0"/>
        <v>0.219773859581543</v>
      </c>
    </row>
  </sheetData>
  <conditionalFormatting sqref="L2:L50">
    <cfRule type="cellIs" dxfId="50" priority="3" operator="lessThan">
      <formula>$O$2</formula>
    </cfRule>
  </conditionalFormatting>
  <conditionalFormatting sqref="A2:J50">
    <cfRule type="cellIs" dxfId="48" priority="1" operator="lessThan">
      <formula>$O$4</formula>
    </cfRule>
    <cfRule type="cellIs" dxfId="47" priority="2" operator="greaterThan">
      <formula>$O$3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zoomScale="85" zoomScaleNormal="85" workbookViewId="0">
      <selection activeCell="O2" sqref="O2"/>
    </sheetView>
  </sheetViews>
  <sheetFormatPr defaultRowHeight="15" x14ac:dyDescent="0.25"/>
  <cols>
    <col min="1" max="10" width="7" style="1" customWidth="1"/>
    <col min="11" max="11" width="11.5703125" style="3" customWidth="1"/>
    <col min="12" max="12" width="6" style="1" customWidth="1"/>
    <col min="13" max="14" width="9.140625" style="1"/>
    <col min="15" max="15" width="7.7109375" style="1" bestFit="1" customWidth="1"/>
    <col min="16" max="16" width="5.85546875" style="1" bestFit="1" customWidth="1"/>
    <col min="17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1" t="s">
        <v>61</v>
      </c>
    </row>
    <row r="2" spans="1:15" x14ac:dyDescent="0.25">
      <c r="A2" s="2">
        <v>7.1108918690240705E-2</v>
      </c>
      <c r="B2" s="2">
        <v>-2.9921512412474198E-3</v>
      </c>
      <c r="C2" s="2">
        <v>0.10137174932731</v>
      </c>
      <c r="D2" s="2">
        <v>0.16679484223646601</v>
      </c>
      <c r="E2" s="2">
        <v>-3.6489462027955701E-2</v>
      </c>
      <c r="F2" s="2">
        <v>0.44638679060591302</v>
      </c>
      <c r="G2" s="2">
        <v>6.5640216371735893E-2</v>
      </c>
      <c r="H2" s="2">
        <v>1.5619305882431701E-2</v>
      </c>
      <c r="I2" s="2">
        <v>-0.140349671034285</v>
      </c>
      <c r="J2" s="2"/>
      <c r="K2" s="4" t="s">
        <v>12</v>
      </c>
      <c r="L2" s="2">
        <f>MAX(ABS(A2),ABS(B2),ABS(C2),ABS(D2),ABS(E2),ABS(F2),ABS(G2), ABS(H2), ABS(I2), ABS(J2))</f>
        <v>0.44638679060591302</v>
      </c>
      <c r="N2" s="1" t="s">
        <v>62</v>
      </c>
      <c r="O2" s="1">
        <f>oblimin!O2</f>
        <v>0.25</v>
      </c>
    </row>
    <row r="3" spans="1:15" x14ac:dyDescent="0.25">
      <c r="A3" s="2">
        <v>-7.7129421115009799E-3</v>
      </c>
      <c r="B3" s="2">
        <v>-8.2791665421156901E-3</v>
      </c>
      <c r="C3" s="2">
        <v>-1.54501593331448E-2</v>
      </c>
      <c r="D3" s="2">
        <v>4.8775550296452003E-2</v>
      </c>
      <c r="E3" s="2">
        <v>-1.06129404013402E-2</v>
      </c>
      <c r="F3" s="2">
        <v>0.76596365666592103</v>
      </c>
      <c r="G3" s="2">
        <v>5.1867390684758402E-2</v>
      </c>
      <c r="H3" s="2">
        <v>2.4974952575072699E-2</v>
      </c>
      <c r="I3" s="2">
        <v>6.3117287140680503E-2</v>
      </c>
      <c r="J3" s="2"/>
      <c r="K3" s="4" t="s">
        <v>13</v>
      </c>
      <c r="L3" s="2">
        <f t="shared" ref="L3:L50" si="0">MAX(ABS(A3),ABS(B3),ABS(C3),ABS(D3),ABS(E3),ABS(F3),ABS(G3), ABS(H3), ABS(I3), ABS(J3))</f>
        <v>0.76596365666592103</v>
      </c>
      <c r="N3" s="1" t="s">
        <v>10</v>
      </c>
      <c r="O3" s="1">
        <f>O2</f>
        <v>0.25</v>
      </c>
    </row>
    <row r="4" spans="1:15" x14ac:dyDescent="0.25">
      <c r="A4" s="2">
        <v>6.6487391133582097E-2</v>
      </c>
      <c r="B4" s="2">
        <v>4.9291769862789499E-2</v>
      </c>
      <c r="C4" s="2">
        <v>7.1144792702884804E-2</v>
      </c>
      <c r="D4" s="2">
        <v>9.8097403626652702E-2</v>
      </c>
      <c r="E4" s="2">
        <v>-8.4991455219621398E-2</v>
      </c>
      <c r="F4" s="2">
        <v>0.68122148486112899</v>
      </c>
      <c r="G4" s="2">
        <v>2.4289197221262701E-3</v>
      </c>
      <c r="H4" s="2">
        <v>-0.10301808264519199</v>
      </c>
      <c r="I4" s="2">
        <v>7.4291758137489897E-3</v>
      </c>
      <c r="J4" s="2"/>
      <c r="K4" s="4" t="s">
        <v>17</v>
      </c>
      <c r="L4" s="2">
        <f t="shared" si="0"/>
        <v>0.68122148486112899</v>
      </c>
      <c r="N4" s="1" t="s">
        <v>11</v>
      </c>
      <c r="O4" s="1">
        <f>O3*-1</f>
        <v>-0.25</v>
      </c>
    </row>
    <row r="5" spans="1:15" x14ac:dyDescent="0.25">
      <c r="A5" s="2">
        <v>9.3202717967114102E-3</v>
      </c>
      <c r="B5" s="2">
        <v>-7.9225152703723004E-2</v>
      </c>
      <c r="C5" s="2">
        <v>6.7300071989807794E-2</v>
      </c>
      <c r="D5" s="2">
        <v>3.3100562969466202E-2</v>
      </c>
      <c r="E5" s="2">
        <v>-4.4916614520081499E-2</v>
      </c>
      <c r="F5" s="2">
        <v>0.75471242708784703</v>
      </c>
      <c r="G5" s="2">
        <v>-2.4667016854478301E-2</v>
      </c>
      <c r="H5" s="2">
        <v>1.09285661308707E-2</v>
      </c>
      <c r="I5" s="2">
        <v>3.78017709483882E-2</v>
      </c>
      <c r="J5" s="2"/>
      <c r="K5" s="4" t="s">
        <v>18</v>
      </c>
      <c r="L5" s="2">
        <f t="shared" si="0"/>
        <v>0.75471242708784703</v>
      </c>
    </row>
    <row r="6" spans="1:15" x14ac:dyDescent="0.25">
      <c r="A6" s="2">
        <v>0.12868065323985001</v>
      </c>
      <c r="B6" s="2">
        <v>0.24145762902627199</v>
      </c>
      <c r="C6" s="2">
        <v>0.18215218992156801</v>
      </c>
      <c r="D6" s="2">
        <v>0.10918618891231401</v>
      </c>
      <c r="E6" s="2">
        <v>-4.3184599775694499E-2</v>
      </c>
      <c r="F6" s="2">
        <v>0.340037492724313</v>
      </c>
      <c r="G6" s="2">
        <v>2.3841167835005801E-2</v>
      </c>
      <c r="H6" s="2">
        <v>-0.112485904876577</v>
      </c>
      <c r="I6" s="2">
        <v>-4.4448086960710897E-2</v>
      </c>
      <c r="J6" s="2"/>
      <c r="K6" s="4" t="s">
        <v>19</v>
      </c>
      <c r="L6" s="2">
        <f t="shared" si="0"/>
        <v>0.340037492724313</v>
      </c>
    </row>
    <row r="7" spans="1:15" x14ac:dyDescent="0.25">
      <c r="A7" s="2">
        <v>-3.0924991145422701E-2</v>
      </c>
      <c r="B7" s="2">
        <v>-1.5243290392882299E-2</v>
      </c>
      <c r="C7" s="2">
        <v>-8.9426507269284999E-2</v>
      </c>
      <c r="D7" s="2">
        <v>-1.5727847406542698E-2</v>
      </c>
      <c r="E7" s="2">
        <v>-5.7617904098011697E-3</v>
      </c>
      <c r="F7" s="2">
        <v>0.52036842856377097</v>
      </c>
      <c r="G7" s="2">
        <v>3.4114370125040101E-2</v>
      </c>
      <c r="H7" s="2">
        <v>0.35051182047350499</v>
      </c>
      <c r="I7" s="2">
        <v>2.8719489469170901E-2</v>
      </c>
      <c r="J7" s="2"/>
      <c r="K7" s="4" t="s">
        <v>22</v>
      </c>
      <c r="L7" s="2">
        <f t="shared" si="0"/>
        <v>0.52036842856377097</v>
      </c>
    </row>
    <row r="8" spans="1:15" x14ac:dyDescent="0.25">
      <c r="A8" s="2">
        <v>2.0176022794322401E-2</v>
      </c>
      <c r="B8" s="2">
        <v>1.04510333770631E-2</v>
      </c>
      <c r="C8" s="2">
        <v>0.95672785514567604</v>
      </c>
      <c r="D8" s="2">
        <v>1.48352448318479E-2</v>
      </c>
      <c r="E8" s="2">
        <v>-1.2402472600615701E-2</v>
      </c>
      <c r="F8" s="2">
        <v>-2.3441594811130602E-3</v>
      </c>
      <c r="G8" s="2">
        <v>-6.1725191994495401E-2</v>
      </c>
      <c r="H8" s="2">
        <v>2.8553525241761499E-2</v>
      </c>
      <c r="I8" s="2">
        <v>7.0941641216744596E-3</v>
      </c>
      <c r="J8" s="2"/>
      <c r="K8" s="4" t="s">
        <v>34</v>
      </c>
      <c r="L8" s="2">
        <f t="shared" si="0"/>
        <v>0.95672785514567604</v>
      </c>
    </row>
    <row r="9" spans="1:15" x14ac:dyDescent="0.25">
      <c r="A9" s="2">
        <v>1.5758900058614599E-2</v>
      </c>
      <c r="B9" s="2">
        <v>-3.2710934763410499E-2</v>
      </c>
      <c r="C9" s="2">
        <v>0.79527537013094696</v>
      </c>
      <c r="D9" s="2">
        <v>1.9257973056049201E-2</v>
      </c>
      <c r="E9" s="2">
        <v>-1.9748041636256399E-2</v>
      </c>
      <c r="F9" s="2">
        <v>4.0669752210129598E-2</v>
      </c>
      <c r="G9" s="2">
        <v>0.11031485561771499</v>
      </c>
      <c r="H9" s="2">
        <v>-1.7817070055353299E-2</v>
      </c>
      <c r="I9" s="2">
        <v>2.0428538227911401E-2</v>
      </c>
      <c r="J9" s="2"/>
      <c r="K9" s="4" t="s">
        <v>37</v>
      </c>
      <c r="L9" s="2">
        <f t="shared" si="0"/>
        <v>0.79527537013094696</v>
      </c>
    </row>
    <row r="10" spans="1:15" x14ac:dyDescent="0.25">
      <c r="A10" s="2">
        <v>-8.5040701336267892E-3</v>
      </c>
      <c r="B10" s="2">
        <v>0.148311430794204</v>
      </c>
      <c r="C10" s="2">
        <v>0.109033906610825</v>
      </c>
      <c r="D10" s="2">
        <v>-3.1627463544628399E-3</v>
      </c>
      <c r="E10" s="2">
        <v>-0.104215574936546</v>
      </c>
      <c r="F10" s="2">
        <v>-4.8861749994229403E-2</v>
      </c>
      <c r="G10" s="2">
        <v>1.25907111856726E-2</v>
      </c>
      <c r="H10" s="2">
        <v>0.57996805686525199</v>
      </c>
      <c r="I10" s="2">
        <v>9.3558930146245597E-2</v>
      </c>
      <c r="J10" s="2"/>
      <c r="K10" s="4" t="s">
        <v>14</v>
      </c>
      <c r="L10" s="2">
        <f t="shared" si="0"/>
        <v>0.57996805686525199</v>
      </c>
    </row>
    <row r="11" spans="1:15" x14ac:dyDescent="0.25">
      <c r="A11" s="2">
        <v>2.10011745511972E-2</v>
      </c>
      <c r="B11" s="2">
        <v>1.6656376307388899E-3</v>
      </c>
      <c r="C11" s="2">
        <v>0.974240945044342</v>
      </c>
      <c r="D11" s="2">
        <v>1.81214766885213E-2</v>
      </c>
      <c r="E11" s="2">
        <v>-2.20384737891198E-2</v>
      </c>
      <c r="F11" s="2">
        <v>-2.15490607916499E-2</v>
      </c>
      <c r="G11" s="2">
        <v>-2.9550729379591401E-2</v>
      </c>
      <c r="H11" s="2">
        <v>3.2167572719646598E-2</v>
      </c>
      <c r="I11" s="2">
        <v>-4.51434731808871E-3</v>
      </c>
      <c r="J11" s="2"/>
      <c r="K11" s="4" t="s">
        <v>15</v>
      </c>
      <c r="L11" s="2">
        <f t="shared" si="0"/>
        <v>0.974240945044342</v>
      </c>
    </row>
    <row r="12" spans="1:15" x14ac:dyDescent="0.25">
      <c r="A12" s="2">
        <v>2.2378539215959499E-3</v>
      </c>
      <c r="B12" s="2">
        <v>-3.0290545718778001E-3</v>
      </c>
      <c r="C12" s="2">
        <v>0.83504435044073899</v>
      </c>
      <c r="D12" s="2">
        <v>1.7543121110597201E-3</v>
      </c>
      <c r="E12" s="2">
        <v>-1.5529148996188701E-2</v>
      </c>
      <c r="F12" s="2">
        <v>4.5774438665688602E-2</v>
      </c>
      <c r="G12" s="2">
        <v>8.5174553504688097E-2</v>
      </c>
      <c r="H12" s="2">
        <v>-4.7436592516014599E-2</v>
      </c>
      <c r="I12" s="2">
        <v>3.1632841360628099E-2</v>
      </c>
      <c r="J12" s="2"/>
      <c r="K12" s="4" t="s">
        <v>24</v>
      </c>
      <c r="L12" s="2">
        <f t="shared" si="0"/>
        <v>0.83504435044073899</v>
      </c>
    </row>
    <row r="13" spans="1:15" x14ac:dyDescent="0.25">
      <c r="A13" s="2">
        <v>4.8205587734615897E-2</v>
      </c>
      <c r="B13" s="2">
        <v>3.3243999859440203E-2</v>
      </c>
      <c r="C13" s="2">
        <v>9.6725298726271794E-2</v>
      </c>
      <c r="D13" s="2">
        <v>1.5915170985147099E-2</v>
      </c>
      <c r="E13" s="2">
        <v>-0.79379475511401598</v>
      </c>
      <c r="F13" s="2">
        <v>7.7662241661450596E-2</v>
      </c>
      <c r="G13" s="2">
        <v>1.62757171003959E-3</v>
      </c>
      <c r="H13" s="2">
        <v>4.39072480095824E-2</v>
      </c>
      <c r="I13" s="2">
        <v>3.3188592660662798E-2</v>
      </c>
      <c r="J13" s="2"/>
      <c r="K13" s="4" t="s">
        <v>38</v>
      </c>
      <c r="L13" s="2">
        <f t="shared" si="0"/>
        <v>0.79379475511401598</v>
      </c>
    </row>
    <row r="14" spans="1:15" x14ac:dyDescent="0.25">
      <c r="A14" s="2">
        <v>2.59012670047221E-2</v>
      </c>
      <c r="B14" s="2">
        <v>2.7345067095298201E-2</v>
      </c>
      <c r="C14" s="2">
        <v>5.8573973894909898E-2</v>
      </c>
      <c r="D14" s="2">
        <v>1.3900724507168199E-4</v>
      </c>
      <c r="E14" s="2">
        <v>-0.79024072320696603</v>
      </c>
      <c r="F14" s="2">
        <v>4.0340143612551498E-2</v>
      </c>
      <c r="G14" s="2">
        <v>5.0105673421863901E-2</v>
      </c>
      <c r="H14" s="2">
        <v>-2.6998524802891201E-2</v>
      </c>
      <c r="I14" s="2">
        <v>4.3314075374173103E-2</v>
      </c>
      <c r="J14" s="2"/>
      <c r="K14" s="4" t="s">
        <v>28</v>
      </c>
      <c r="L14" s="2">
        <f t="shared" si="0"/>
        <v>0.79024072320696603</v>
      </c>
    </row>
    <row r="15" spans="1:15" x14ac:dyDescent="0.25">
      <c r="A15" s="2">
        <v>0.121346438932159</v>
      </c>
      <c r="B15" s="2">
        <v>0.29421217181139703</v>
      </c>
      <c r="C15" s="2">
        <v>-0.115453063255973</v>
      </c>
      <c r="D15" s="2">
        <v>-6.6088841264869301E-3</v>
      </c>
      <c r="E15" s="2">
        <v>0.27071227247471802</v>
      </c>
      <c r="F15" s="2">
        <v>0.16419403360368301</v>
      </c>
      <c r="G15" s="2">
        <v>0.119298294139365</v>
      </c>
      <c r="H15" s="2">
        <v>0.32169097835375798</v>
      </c>
      <c r="I15" s="2">
        <v>2.4241611385977701E-2</v>
      </c>
      <c r="J15" s="2"/>
      <c r="K15" s="4" t="s">
        <v>39</v>
      </c>
      <c r="L15" s="2">
        <f t="shared" si="0"/>
        <v>0.32169097835375798</v>
      </c>
    </row>
    <row r="16" spans="1:15" x14ac:dyDescent="0.25">
      <c r="A16" s="2">
        <v>-3.74860932862964E-3</v>
      </c>
      <c r="B16" s="2">
        <v>0.33185734675386003</v>
      </c>
      <c r="C16" s="2">
        <v>-7.8233172833003604E-3</v>
      </c>
      <c r="D16" s="2">
        <v>-5.30159519106135E-2</v>
      </c>
      <c r="E16" s="2">
        <v>0.314160022256112</v>
      </c>
      <c r="F16" s="2">
        <v>0.158825757971186</v>
      </c>
      <c r="G16" s="2">
        <v>0.106101069662321</v>
      </c>
      <c r="H16" s="2">
        <v>0.21686672269646601</v>
      </c>
      <c r="I16" s="2">
        <v>9.6359879779085694E-2</v>
      </c>
      <c r="J16" s="2"/>
      <c r="K16" s="4" t="s">
        <v>26</v>
      </c>
      <c r="L16" s="2">
        <f t="shared" si="0"/>
        <v>0.33185734675386003</v>
      </c>
    </row>
    <row r="17" spans="1:12" x14ac:dyDescent="0.25">
      <c r="A17" s="2">
        <v>-4.2651399005189099E-2</v>
      </c>
      <c r="B17" s="2">
        <v>3.3307021722475502E-2</v>
      </c>
      <c r="C17" s="2">
        <v>0.14907688825785001</v>
      </c>
      <c r="D17" s="2">
        <v>5.4574452134335304E-3</v>
      </c>
      <c r="E17" s="2">
        <v>-0.28896376315653999</v>
      </c>
      <c r="F17" s="2">
        <v>0.18530091796269199</v>
      </c>
      <c r="G17" s="2">
        <v>-3.5837525946171303E-2</v>
      </c>
      <c r="H17" s="2">
        <v>-4.4404721786140001E-2</v>
      </c>
      <c r="I17" s="2">
        <v>0.12097354857254899</v>
      </c>
      <c r="J17" s="2"/>
      <c r="K17" s="4" t="s">
        <v>35</v>
      </c>
      <c r="L17" s="2">
        <f t="shared" si="0"/>
        <v>0.28896376315653999</v>
      </c>
    </row>
    <row r="18" spans="1:12" x14ac:dyDescent="0.25">
      <c r="A18" s="2">
        <v>7.74394518708649E-2</v>
      </c>
      <c r="B18" s="2">
        <v>0.79216057024519704</v>
      </c>
      <c r="C18" s="2">
        <v>-5.2296311550931403E-2</v>
      </c>
      <c r="D18" s="2">
        <v>2.3283474429595E-3</v>
      </c>
      <c r="E18" s="2">
        <v>-0.115758319913718</v>
      </c>
      <c r="F18" s="2">
        <v>2.8291029746213298E-2</v>
      </c>
      <c r="G18" s="2">
        <v>4.3372156716798102E-2</v>
      </c>
      <c r="H18" s="2">
        <v>-2.5417582109382501E-2</v>
      </c>
      <c r="I18" s="2">
        <v>1.53014228149005E-2</v>
      </c>
      <c r="J18" s="2"/>
      <c r="K18" s="4" t="s">
        <v>40</v>
      </c>
      <c r="L18" s="2">
        <f t="shared" si="0"/>
        <v>0.79216057024519704</v>
      </c>
    </row>
    <row r="19" spans="1:12" x14ac:dyDescent="0.25">
      <c r="A19" s="2">
        <v>6.8232805757734993E-2</v>
      </c>
      <c r="B19" s="2">
        <v>-0.14919330103797501</v>
      </c>
      <c r="C19" s="2">
        <v>-9.3499325992956406E-2</v>
      </c>
      <c r="D19" s="2">
        <v>3.3315743784862802E-2</v>
      </c>
      <c r="E19" s="2">
        <v>-0.29733467818890102</v>
      </c>
      <c r="F19" s="2">
        <v>8.2820591787228004E-2</v>
      </c>
      <c r="G19" s="2">
        <v>0.200609608949151</v>
      </c>
      <c r="H19" s="2">
        <v>3.02914161013168E-2</v>
      </c>
      <c r="I19" s="2">
        <v>3.04884935240241E-2</v>
      </c>
      <c r="J19" s="2"/>
      <c r="K19" s="4" t="s">
        <v>33</v>
      </c>
      <c r="L19" s="2">
        <f t="shared" si="0"/>
        <v>0.29733467818890102</v>
      </c>
    </row>
    <row r="20" spans="1:12" x14ac:dyDescent="0.25">
      <c r="A20" s="2">
        <v>1.2457970450865199E-3</v>
      </c>
      <c r="B20" s="2">
        <v>0.93182793554837495</v>
      </c>
      <c r="C20" s="2">
        <v>-8.4902206392190906E-3</v>
      </c>
      <c r="D20" s="2">
        <v>3.61339579116737E-3</v>
      </c>
      <c r="E20" s="2">
        <v>3.3762957573535299E-2</v>
      </c>
      <c r="F20" s="2">
        <v>-3.5538153707579699E-2</v>
      </c>
      <c r="G20" s="2">
        <v>-2.0700867791508998E-2</v>
      </c>
      <c r="H20" s="2">
        <v>-3.8476511330702103E-2</v>
      </c>
      <c r="I20" s="2">
        <v>1.4207653234277799E-2</v>
      </c>
      <c r="J20" s="2"/>
      <c r="K20" s="4" t="s">
        <v>27</v>
      </c>
      <c r="L20" s="2">
        <f t="shared" si="0"/>
        <v>0.93182793554837495</v>
      </c>
    </row>
    <row r="21" spans="1:12" x14ac:dyDescent="0.25">
      <c r="A21" s="2">
        <v>1.70688587276621E-2</v>
      </c>
      <c r="B21" s="2">
        <v>-0.19608451770608501</v>
      </c>
      <c r="C21" s="2">
        <v>0.35851838644382999</v>
      </c>
      <c r="D21" s="2">
        <v>-6.2764554210830603E-2</v>
      </c>
      <c r="E21" s="2">
        <v>-0.13797254396396599</v>
      </c>
      <c r="F21" s="2">
        <v>7.8892372799808902E-2</v>
      </c>
      <c r="G21" s="2">
        <v>0.27689645338438601</v>
      </c>
      <c r="H21" s="2">
        <v>1.9809228772989601E-2</v>
      </c>
      <c r="I21" s="2">
        <v>4.0719394287208603E-2</v>
      </c>
      <c r="J21" s="2"/>
      <c r="K21" s="4" t="s">
        <v>41</v>
      </c>
      <c r="L21" s="2">
        <f t="shared" si="0"/>
        <v>0.35851838644382999</v>
      </c>
    </row>
    <row r="22" spans="1:12" x14ac:dyDescent="0.25">
      <c r="A22" s="2">
        <v>-8.4348923349319996E-2</v>
      </c>
      <c r="B22" s="2">
        <v>0.58149854360821296</v>
      </c>
      <c r="C22" s="2">
        <v>0.10401941597015001</v>
      </c>
      <c r="D22" s="2">
        <v>2.1309086094861401E-2</v>
      </c>
      <c r="E22" s="2">
        <v>3.4102514297978198E-2</v>
      </c>
      <c r="F22" s="2">
        <v>-4.5986508086671297E-2</v>
      </c>
      <c r="G22" s="2">
        <v>-6.6807459476000798E-5</v>
      </c>
      <c r="H22" s="2">
        <v>0.330504130928505</v>
      </c>
      <c r="I22" s="2">
        <v>5.56238832232651E-2</v>
      </c>
      <c r="J22" s="2"/>
      <c r="K22" s="4" t="s">
        <v>42</v>
      </c>
      <c r="L22" s="2">
        <f t="shared" si="0"/>
        <v>0.58149854360821296</v>
      </c>
    </row>
    <row r="23" spans="1:12" x14ac:dyDescent="0.25">
      <c r="A23" s="2">
        <v>0.92418052207599</v>
      </c>
      <c r="B23" s="2">
        <v>-1.52418963739615E-2</v>
      </c>
      <c r="C23" s="2">
        <v>5.8416203947511902E-2</v>
      </c>
      <c r="D23" s="2">
        <v>1.49868217893198E-3</v>
      </c>
      <c r="E23" s="2">
        <v>-1.84236206237272E-2</v>
      </c>
      <c r="F23" s="2">
        <v>1.30294804523587E-2</v>
      </c>
      <c r="G23" s="2">
        <v>-6.1208711313813101E-4</v>
      </c>
      <c r="H23" s="2">
        <v>-3.9073616746178597E-2</v>
      </c>
      <c r="I23" s="2">
        <v>4.3634013700658697E-2</v>
      </c>
      <c r="J23" s="2"/>
      <c r="K23" s="4" t="s">
        <v>43</v>
      </c>
      <c r="L23" s="2">
        <f t="shared" si="0"/>
        <v>0.92418052207599</v>
      </c>
    </row>
    <row r="24" spans="1:12" x14ac:dyDescent="0.25">
      <c r="A24" s="2">
        <v>7.0999208951498596E-2</v>
      </c>
      <c r="B24" s="2">
        <v>2.5322998541739899E-2</v>
      </c>
      <c r="C24" s="2">
        <v>3.0252074022264201E-2</v>
      </c>
      <c r="D24" s="2">
        <v>3.0542889893900299E-4</v>
      </c>
      <c r="E24" s="2">
        <v>1.21758673284223E-2</v>
      </c>
      <c r="F24" s="2">
        <v>5.6482752524093897E-3</v>
      </c>
      <c r="G24" s="2">
        <v>-1.34559976530307E-2</v>
      </c>
      <c r="H24" s="2">
        <v>-3.1759442447635802E-4</v>
      </c>
      <c r="I24" s="2">
        <v>0.899278119232784</v>
      </c>
      <c r="J24" s="2"/>
      <c r="K24" s="4" t="s">
        <v>44</v>
      </c>
      <c r="L24" s="2">
        <f t="shared" si="0"/>
        <v>0.899278119232784</v>
      </c>
    </row>
    <row r="25" spans="1:12" x14ac:dyDescent="0.25">
      <c r="A25" s="2">
        <v>0.88560046923775404</v>
      </c>
      <c r="B25" s="2">
        <v>-1.9869919160790598E-3</v>
      </c>
      <c r="C25" s="2">
        <v>4.1066023081539803E-2</v>
      </c>
      <c r="D25" s="2">
        <v>5.8479294516435597E-2</v>
      </c>
      <c r="E25" s="2">
        <v>-9.9313909924665499E-3</v>
      </c>
      <c r="F25" s="2">
        <v>1.10819291899592E-2</v>
      </c>
      <c r="G25" s="2">
        <v>-8.1892551074811797E-3</v>
      </c>
      <c r="H25" s="2">
        <v>-6.1586671374980501E-2</v>
      </c>
      <c r="I25" s="2">
        <v>4.5858741669562803E-2</v>
      </c>
      <c r="J25" s="2"/>
      <c r="K25" s="4" t="s">
        <v>45</v>
      </c>
      <c r="L25" s="2">
        <f t="shared" si="0"/>
        <v>0.88560046923775404</v>
      </c>
    </row>
    <row r="26" spans="1:12" x14ac:dyDescent="0.25">
      <c r="A26" s="2">
        <v>0.19471036842805101</v>
      </c>
      <c r="B26" s="2">
        <v>-5.45867094198524E-2</v>
      </c>
      <c r="C26" s="2">
        <v>-6.4640727457999703E-2</v>
      </c>
      <c r="D26" s="2">
        <v>0.104381299320527</v>
      </c>
      <c r="E26" s="2">
        <v>-0.117514504610481</v>
      </c>
      <c r="F26" s="2">
        <v>-1.47634160097631E-2</v>
      </c>
      <c r="G26" s="2">
        <v>3.9322183767593902E-2</v>
      </c>
      <c r="H26" s="2">
        <v>8.7737771089531194E-2</v>
      </c>
      <c r="I26" s="2">
        <v>0.338037272163424</v>
      </c>
      <c r="J26" s="2"/>
      <c r="K26" s="4" t="s">
        <v>30</v>
      </c>
      <c r="L26" s="2">
        <f t="shared" si="0"/>
        <v>0.338037272163424</v>
      </c>
    </row>
    <row r="27" spans="1:12" x14ac:dyDescent="0.25">
      <c r="A27" s="2">
        <v>-1.37113179356807E-3</v>
      </c>
      <c r="B27" s="2">
        <v>6.4135171651324803E-3</v>
      </c>
      <c r="C27" s="2">
        <v>9.5199889120449498E-4</v>
      </c>
      <c r="D27" s="2">
        <v>1.27049122473375E-2</v>
      </c>
      <c r="E27" s="2">
        <v>-1.5264402688668801E-2</v>
      </c>
      <c r="F27" s="2">
        <v>5.0879326156873803E-3</v>
      </c>
      <c r="G27" s="2">
        <v>4.0750952961082498E-2</v>
      </c>
      <c r="H27" s="2">
        <v>-3.70339649462069E-2</v>
      </c>
      <c r="I27" s="2">
        <v>0.95470643441492398</v>
      </c>
      <c r="J27" s="2"/>
      <c r="K27" s="4" t="s">
        <v>31</v>
      </c>
      <c r="L27" s="2">
        <f t="shared" si="0"/>
        <v>0.95470643441492398</v>
      </c>
    </row>
    <row r="28" spans="1:12" x14ac:dyDescent="0.25">
      <c r="A28" s="2">
        <v>0.65396419789344795</v>
      </c>
      <c r="B28" s="2">
        <v>9.4704452047444598E-2</v>
      </c>
      <c r="C28" s="2">
        <v>-8.8927044006965203E-2</v>
      </c>
      <c r="D28" s="2">
        <v>-1.43491486920642E-2</v>
      </c>
      <c r="E28" s="2">
        <v>-1.20797631661384E-2</v>
      </c>
      <c r="F28" s="2">
        <v>-1.13603258270177E-2</v>
      </c>
      <c r="G28" s="2">
        <v>5.5017436339415603E-2</v>
      </c>
      <c r="H28" s="2">
        <v>0.24854019736795599</v>
      </c>
      <c r="I28" s="2">
        <v>0.107900075663017</v>
      </c>
      <c r="J28" s="2"/>
      <c r="K28" s="4" t="s">
        <v>21</v>
      </c>
      <c r="L28" s="2">
        <f t="shared" si="0"/>
        <v>0.65396419789344795</v>
      </c>
    </row>
    <row r="29" spans="1:12" x14ac:dyDescent="0.25">
      <c r="A29" s="2">
        <v>0.15502277492099201</v>
      </c>
      <c r="B29" s="2">
        <v>-8.71085573385251E-2</v>
      </c>
      <c r="C29" s="2">
        <v>6.5547801997770605E-2</v>
      </c>
      <c r="D29" s="2">
        <v>0.155748928678281</v>
      </c>
      <c r="E29" s="2">
        <v>-0.121153867770838</v>
      </c>
      <c r="F29" s="2">
        <v>0.105287259818913</v>
      </c>
      <c r="G29" s="2">
        <v>-4.69262857910826E-2</v>
      </c>
      <c r="H29" s="2">
        <v>0.25839502866814701</v>
      </c>
      <c r="I29" s="2">
        <v>0.17708092821500099</v>
      </c>
      <c r="J29" s="2"/>
      <c r="K29" s="4" t="s">
        <v>46</v>
      </c>
      <c r="L29" s="2">
        <f t="shared" si="0"/>
        <v>0.25839502866814701</v>
      </c>
    </row>
    <row r="30" spans="1:12" x14ac:dyDescent="0.25">
      <c r="A30" s="2">
        <v>0.16552609242800401</v>
      </c>
      <c r="B30" s="2">
        <v>4.7556541493914799E-2</v>
      </c>
      <c r="C30" s="2">
        <v>-0.116026054256831</v>
      </c>
      <c r="D30" s="2">
        <v>1.40411648418041E-2</v>
      </c>
      <c r="E30" s="2">
        <v>2.1579821935199799E-2</v>
      </c>
      <c r="F30" s="2">
        <v>8.6583237595348597E-2</v>
      </c>
      <c r="G30" s="2">
        <v>-3.0809158916436801E-2</v>
      </c>
      <c r="H30" s="2">
        <v>0.60198016171541802</v>
      </c>
      <c r="I30" s="2">
        <v>8.5224743195422697E-2</v>
      </c>
      <c r="J30" s="2"/>
      <c r="K30" s="4" t="s">
        <v>25</v>
      </c>
      <c r="L30" s="2">
        <f t="shared" si="0"/>
        <v>0.60198016171541802</v>
      </c>
    </row>
    <row r="31" spans="1:12" x14ac:dyDescent="0.25">
      <c r="A31" s="2">
        <v>8.8731730145431606E-2</v>
      </c>
      <c r="B31" s="2">
        <v>-4.7996612230366303E-2</v>
      </c>
      <c r="C31" s="2">
        <v>6.5386412921860197E-3</v>
      </c>
      <c r="D31" s="2">
        <v>0.128716399630462</v>
      </c>
      <c r="E31" s="2">
        <v>-0.14604335471452401</v>
      </c>
      <c r="F31" s="2">
        <v>7.2370378281352302E-2</v>
      </c>
      <c r="G31" s="2">
        <v>-0.13526619839447601</v>
      </c>
      <c r="H31" s="2">
        <v>0.27656103794810499</v>
      </c>
      <c r="I31" s="2">
        <v>0.37675604297812998</v>
      </c>
      <c r="J31" s="2"/>
      <c r="K31" s="4" t="s">
        <v>47</v>
      </c>
      <c r="L31" s="2">
        <f t="shared" si="0"/>
        <v>0.37675604297812998</v>
      </c>
    </row>
    <row r="32" spans="1:12" x14ac:dyDescent="0.25">
      <c r="A32" s="2">
        <v>5.3200827771364999E-2</v>
      </c>
      <c r="B32" s="2">
        <v>9.7055566927050103E-3</v>
      </c>
      <c r="C32" s="2">
        <v>0.13499108487129599</v>
      </c>
      <c r="D32" s="2">
        <v>0.107211137299785</v>
      </c>
      <c r="E32" s="2">
        <v>-2.78015245193847E-2</v>
      </c>
      <c r="F32" s="2">
        <v>4.3850649409942599E-2</v>
      </c>
      <c r="G32" s="2">
        <v>0.68500278261678405</v>
      </c>
      <c r="H32" s="2">
        <v>-0.14995156054523101</v>
      </c>
      <c r="I32" s="2">
        <v>7.3989780687399503E-2</v>
      </c>
      <c r="J32" s="2"/>
      <c r="K32" s="4" t="s">
        <v>16</v>
      </c>
      <c r="L32" s="2">
        <f t="shared" si="0"/>
        <v>0.68500278261678405</v>
      </c>
    </row>
    <row r="33" spans="1:12" x14ac:dyDescent="0.25">
      <c r="A33" s="2">
        <v>0.150569965958507</v>
      </c>
      <c r="B33" s="2">
        <v>5.2445455251529998E-3</v>
      </c>
      <c r="C33" s="2">
        <v>2.5092644005878999E-2</v>
      </c>
      <c r="D33" s="2">
        <v>6.0548539355414599E-2</v>
      </c>
      <c r="E33" s="2">
        <v>-6.5180300544133901E-2</v>
      </c>
      <c r="F33" s="2">
        <v>0.139817899540711</v>
      </c>
      <c r="G33" s="2">
        <v>0.55277073274533495</v>
      </c>
      <c r="H33" s="2">
        <v>1.14246859643246E-2</v>
      </c>
      <c r="I33" s="2">
        <v>0.112327260383506</v>
      </c>
      <c r="J33" s="2"/>
      <c r="K33" s="4" t="s">
        <v>23</v>
      </c>
      <c r="L33" s="2">
        <f t="shared" si="0"/>
        <v>0.55277073274533495</v>
      </c>
    </row>
    <row r="34" spans="1:12" x14ac:dyDescent="0.25">
      <c r="A34" s="2">
        <v>9.0431188060218604E-2</v>
      </c>
      <c r="B34" s="2">
        <v>-0.123830256896448</v>
      </c>
      <c r="C34" s="2">
        <v>4.6655783074957803E-2</v>
      </c>
      <c r="D34" s="2">
        <v>0.32250181690185298</v>
      </c>
      <c r="E34" s="2">
        <v>-0.20897805911372899</v>
      </c>
      <c r="F34" s="2">
        <v>-9.6217918670988098E-2</v>
      </c>
      <c r="G34" s="2">
        <v>0.33421343031891898</v>
      </c>
      <c r="H34" s="2">
        <v>0.19242422765469</v>
      </c>
      <c r="I34" s="2">
        <v>-5.6172293296598202E-2</v>
      </c>
      <c r="J34" s="2"/>
      <c r="K34" s="4" t="s">
        <v>48</v>
      </c>
      <c r="L34" s="2">
        <f t="shared" si="0"/>
        <v>0.33421343031891898</v>
      </c>
    </row>
    <row r="35" spans="1:12" x14ac:dyDescent="0.25">
      <c r="A35" s="2">
        <v>-6.2094637485904901E-2</v>
      </c>
      <c r="B35" s="2">
        <v>0.21429051568569199</v>
      </c>
      <c r="C35" s="2">
        <v>-8.0618939517550198E-2</v>
      </c>
      <c r="D35" s="2">
        <v>0.20071927522489599</v>
      </c>
      <c r="E35" s="2">
        <v>-0.16298188159250801</v>
      </c>
      <c r="F35" s="2">
        <v>-0.10457330094705</v>
      </c>
      <c r="G35" s="2">
        <v>6.3836979708771904E-2</v>
      </c>
      <c r="H35" s="2">
        <v>0.45075796595571799</v>
      </c>
      <c r="I35" s="2">
        <v>-6.16054325045736E-2</v>
      </c>
      <c r="J35" s="2"/>
      <c r="K35" s="4" t="s">
        <v>49</v>
      </c>
      <c r="L35" s="2">
        <f t="shared" si="0"/>
        <v>0.45075796595571799</v>
      </c>
    </row>
    <row r="36" spans="1:12" x14ac:dyDescent="0.25">
      <c r="A36" s="2">
        <v>5.5161532021705303E-2</v>
      </c>
      <c r="B36" s="2">
        <v>-5.0387962099147001E-3</v>
      </c>
      <c r="C36" s="2">
        <v>0.102088641680344</v>
      </c>
      <c r="D36" s="2">
        <v>0.65925142847928397</v>
      </c>
      <c r="E36" s="2">
        <v>-3.2464276869014097E-2</v>
      </c>
      <c r="F36" s="2">
        <v>2.6530007070864298E-2</v>
      </c>
      <c r="G36" s="2">
        <v>0.18411562153880201</v>
      </c>
      <c r="H36" s="2">
        <v>-1.9896823501903499E-2</v>
      </c>
      <c r="I36" s="2">
        <v>-5.86515471150319E-5</v>
      </c>
      <c r="J36" s="2"/>
      <c r="K36" s="4" t="s">
        <v>36</v>
      </c>
      <c r="L36" s="2">
        <f t="shared" si="0"/>
        <v>0.65925142847928397</v>
      </c>
    </row>
    <row r="37" spans="1:12" x14ac:dyDescent="0.25">
      <c r="A37" s="2">
        <v>-3.9356268446171204E-3</v>
      </c>
      <c r="B37" s="2">
        <v>8.8508974076058497E-2</v>
      </c>
      <c r="C37" s="2">
        <v>9.8904237187132898E-2</v>
      </c>
      <c r="D37" s="2">
        <v>0.54115855010788905</v>
      </c>
      <c r="E37" s="2">
        <v>-0.122295802750487</v>
      </c>
      <c r="F37" s="2">
        <v>9.4131237433322995E-2</v>
      </c>
      <c r="G37" s="2">
        <v>3.8690344555876603E-2</v>
      </c>
      <c r="H37" s="2">
        <v>-4.1953431535598898E-2</v>
      </c>
      <c r="I37" s="2">
        <v>-5.8046531082837201E-2</v>
      </c>
      <c r="J37" s="2"/>
      <c r="K37" s="4" t="s">
        <v>50</v>
      </c>
      <c r="L37" s="2">
        <f t="shared" si="0"/>
        <v>0.54115855010788905</v>
      </c>
    </row>
    <row r="38" spans="1:12" x14ac:dyDescent="0.25">
      <c r="A38" s="2">
        <v>-4.7742520877717597E-2</v>
      </c>
      <c r="B38" s="2">
        <v>3.8045095955392301E-2</v>
      </c>
      <c r="C38" s="2">
        <v>3.66487043554393E-2</v>
      </c>
      <c r="D38" s="2">
        <v>0.82274225214599805</v>
      </c>
      <c r="E38" s="2">
        <v>-4.6611972975929401E-2</v>
      </c>
      <c r="F38" s="2">
        <v>9.3863461333034207E-2</v>
      </c>
      <c r="G38" s="2">
        <v>-3.1377440942736701E-3</v>
      </c>
      <c r="H38" s="2">
        <v>-1.8423992501714601E-2</v>
      </c>
      <c r="I38" s="2">
        <v>-2.13996317755148E-3</v>
      </c>
      <c r="J38" s="2"/>
      <c r="K38" s="4" t="s">
        <v>51</v>
      </c>
      <c r="L38" s="2">
        <f t="shared" si="0"/>
        <v>0.82274225214599805</v>
      </c>
    </row>
    <row r="39" spans="1:12" x14ac:dyDescent="0.25">
      <c r="A39" s="2">
        <v>2.0790431331158001E-3</v>
      </c>
      <c r="B39" s="2">
        <v>-6.8489292111546904E-2</v>
      </c>
      <c r="C39" s="2">
        <v>-2.6002703203304101E-2</v>
      </c>
      <c r="D39" s="2">
        <v>0.89450868041061704</v>
      </c>
      <c r="E39" s="2">
        <v>5.54036092620495E-2</v>
      </c>
      <c r="F39" s="2">
        <v>-3.19930611328305E-2</v>
      </c>
      <c r="G39" s="2">
        <v>-2.4483336100198099E-3</v>
      </c>
      <c r="H39" s="2">
        <v>2.3835407987448501E-2</v>
      </c>
      <c r="I39" s="2">
        <v>9.1035967468955703E-2</v>
      </c>
      <c r="J39" s="2"/>
      <c r="K39" s="4" t="s">
        <v>20</v>
      </c>
      <c r="L39" s="2">
        <f t="shared" si="0"/>
        <v>0.89450868041061704</v>
      </c>
    </row>
    <row r="40" spans="1:12" x14ac:dyDescent="0.25">
      <c r="A40" s="2">
        <v>1.6556933108647202E-2</v>
      </c>
      <c r="B40" s="2">
        <v>4.8921111708754697E-2</v>
      </c>
      <c r="C40" s="2">
        <v>1.99741061575411E-2</v>
      </c>
      <c r="D40" s="2">
        <v>0.90196471818361901</v>
      </c>
      <c r="E40" s="2">
        <v>8.6860891560842403E-3</v>
      </c>
      <c r="F40" s="2">
        <v>6.5319016664179094E-2</v>
      </c>
      <c r="G40" s="2">
        <v>-5.4297103432931398E-2</v>
      </c>
      <c r="H40" s="2">
        <v>-3.0443978966111201E-2</v>
      </c>
      <c r="I40" s="2">
        <v>-1.8463761163351099E-2</v>
      </c>
      <c r="J40" s="2"/>
      <c r="K40" s="4" t="s">
        <v>52</v>
      </c>
      <c r="L40" s="2">
        <f t="shared" si="0"/>
        <v>0.90196471818361901</v>
      </c>
    </row>
    <row r="41" spans="1:12" x14ac:dyDescent="0.25">
      <c r="A41" s="2">
        <v>-2.44961380963446E-2</v>
      </c>
      <c r="B41" s="2">
        <v>7.4520284437388007E-2</v>
      </c>
      <c r="C41" s="2">
        <v>8.25596510562569E-2</v>
      </c>
      <c r="D41" s="2">
        <v>1.1833343931255401E-2</v>
      </c>
      <c r="E41" s="2">
        <v>1.19489523624439E-2</v>
      </c>
      <c r="F41" s="2">
        <v>-2.1077554279488901E-3</v>
      </c>
      <c r="G41" s="2">
        <v>0.49626345740142302</v>
      </c>
      <c r="H41" s="2">
        <v>0.26310983278177202</v>
      </c>
      <c r="I41" s="2">
        <v>2.3510530065032401E-2</v>
      </c>
      <c r="J41" s="2"/>
      <c r="K41" s="4" t="s">
        <v>53</v>
      </c>
      <c r="L41" s="2">
        <f t="shared" si="0"/>
        <v>0.49626345740142302</v>
      </c>
    </row>
    <row r="42" spans="1:12" x14ac:dyDescent="0.25">
      <c r="A42" s="2">
        <v>0.29736740537112799</v>
      </c>
      <c r="B42" s="2">
        <v>0.15450352542701901</v>
      </c>
      <c r="C42" s="2">
        <v>-1.8751840718740299E-2</v>
      </c>
      <c r="D42" s="2">
        <v>-7.7022796650505296E-3</v>
      </c>
      <c r="E42" s="2">
        <v>-3.4979645410052801E-2</v>
      </c>
      <c r="F42" s="2">
        <v>2.0251922399571999E-2</v>
      </c>
      <c r="G42" s="2">
        <v>0.39438696346355001</v>
      </c>
      <c r="H42" s="2">
        <v>0.21993203657617499</v>
      </c>
      <c r="I42" s="2">
        <v>-4.5061340923228797E-2</v>
      </c>
      <c r="J42" s="2"/>
      <c r="K42" s="4" t="s">
        <v>54</v>
      </c>
      <c r="L42" s="2">
        <f t="shared" si="0"/>
        <v>0.39438696346355001</v>
      </c>
    </row>
    <row r="43" spans="1:12" x14ac:dyDescent="0.25">
      <c r="A43" s="2">
        <v>1.1170387979653801E-3</v>
      </c>
      <c r="B43" s="2">
        <v>3.8913353185918403E-2</v>
      </c>
      <c r="C43" s="2">
        <v>5.0737522827784903E-2</v>
      </c>
      <c r="D43" s="2">
        <v>-5.5222678351998698E-2</v>
      </c>
      <c r="E43" s="2">
        <v>0.16906495148813999</v>
      </c>
      <c r="F43" s="2">
        <v>0.14623076744984601</v>
      </c>
      <c r="G43" s="2">
        <v>3.8065038029944299E-2</v>
      </c>
      <c r="H43" s="2">
        <v>0.55865285522895702</v>
      </c>
      <c r="I43" s="2">
        <v>-2.4372733894519799E-2</v>
      </c>
      <c r="J43" s="2"/>
      <c r="K43" s="4" t="s">
        <v>29</v>
      </c>
      <c r="L43" s="2">
        <f t="shared" si="0"/>
        <v>0.55865285522895702</v>
      </c>
    </row>
    <row r="44" spans="1:12" x14ac:dyDescent="0.25">
      <c r="A44" s="2">
        <v>7.9099976780726798E-3</v>
      </c>
      <c r="B44" s="2">
        <v>6.9253091882565607E-2</v>
      </c>
      <c r="C44" s="2">
        <v>5.0499092258074703E-2</v>
      </c>
      <c r="D44" s="2">
        <v>5.6090382344568701E-2</v>
      </c>
      <c r="E44" s="2">
        <v>7.32637297497791E-2</v>
      </c>
      <c r="F44" s="2">
        <v>0.15025512056340101</v>
      </c>
      <c r="G44" s="2">
        <v>0.10138528349239501</v>
      </c>
      <c r="H44" s="2">
        <v>0.50362285557698105</v>
      </c>
      <c r="I44" s="2">
        <v>-1.3004273100181299E-2</v>
      </c>
      <c r="J44" s="2"/>
      <c r="K44" s="4" t="s">
        <v>55</v>
      </c>
      <c r="L44" s="2">
        <f t="shared" si="0"/>
        <v>0.50362285557698105</v>
      </c>
    </row>
    <row r="45" spans="1:12" x14ac:dyDescent="0.25">
      <c r="A45" s="2">
        <v>6.0341399573942398E-2</v>
      </c>
      <c r="B45" s="2">
        <v>0.18689616393497999</v>
      </c>
      <c r="C45" s="2">
        <v>-4.4617010771773099E-3</v>
      </c>
      <c r="D45" s="2">
        <v>1.4781679934501199E-2</v>
      </c>
      <c r="E45" s="2">
        <v>9.1945201202947996E-2</v>
      </c>
      <c r="F45" s="2">
        <v>1.9897994126980199E-2</v>
      </c>
      <c r="G45" s="2">
        <v>0.13376714966540099</v>
      </c>
      <c r="H45" s="2">
        <v>0.44002781082887299</v>
      </c>
      <c r="I45" s="2">
        <v>-0.108563958385334</v>
      </c>
      <c r="J45" s="2"/>
      <c r="K45" s="4" t="s">
        <v>56</v>
      </c>
      <c r="L45" s="2">
        <f t="shared" si="0"/>
        <v>0.44002781082887299</v>
      </c>
    </row>
    <row r="46" spans="1:12" x14ac:dyDescent="0.25">
      <c r="A46" s="2">
        <v>0.116274331076757</v>
      </c>
      <c r="B46" s="2">
        <v>5.97096822736667E-2</v>
      </c>
      <c r="C46" s="2">
        <v>-2.86290496534174E-2</v>
      </c>
      <c r="D46" s="2">
        <v>0.21821788665844699</v>
      </c>
      <c r="E46" s="2">
        <v>-0.167870837822719</v>
      </c>
      <c r="F46" s="2">
        <v>0.10371349533056801</v>
      </c>
      <c r="G46" s="2">
        <v>0.15327281222096301</v>
      </c>
      <c r="H46" s="2">
        <v>0.23776787738112401</v>
      </c>
      <c r="I46" s="2">
        <v>4.9328369482034902E-2</v>
      </c>
      <c r="J46" s="2"/>
      <c r="K46" s="4" t="s">
        <v>57</v>
      </c>
      <c r="L46" s="2">
        <f t="shared" si="0"/>
        <v>0.23776787738112401</v>
      </c>
    </row>
    <row r="47" spans="1:12" x14ac:dyDescent="0.25">
      <c r="A47" s="2">
        <v>-7.8115079306230795E-2</v>
      </c>
      <c r="B47" s="2">
        <v>3.6994149281995098E-2</v>
      </c>
      <c r="C47" s="2">
        <v>0.121787213109543</v>
      </c>
      <c r="D47" s="2">
        <v>0.207371706631201</v>
      </c>
      <c r="E47" s="2">
        <v>-2.81112133547439E-2</v>
      </c>
      <c r="F47" s="2">
        <v>6.8016471022515998E-2</v>
      </c>
      <c r="G47" s="2">
        <v>0.48303677911097798</v>
      </c>
      <c r="H47" s="2">
        <v>5.7125388325926597E-2</v>
      </c>
      <c r="I47" s="2">
        <v>0.12986839465137601</v>
      </c>
      <c r="J47" s="2"/>
      <c r="K47" s="4" t="s">
        <v>58</v>
      </c>
      <c r="L47" s="2">
        <f t="shared" si="0"/>
        <v>0.48303677911097798</v>
      </c>
    </row>
    <row r="48" spans="1:12" x14ac:dyDescent="0.25">
      <c r="A48" s="2">
        <v>0.12899640861508199</v>
      </c>
      <c r="B48" s="2">
        <v>-3.30198048934294E-2</v>
      </c>
      <c r="C48" s="2">
        <v>-2.4459017344230099E-2</v>
      </c>
      <c r="D48" s="2">
        <v>0.70958513006763901</v>
      </c>
      <c r="E48" s="2">
        <v>1.31136869414166E-2</v>
      </c>
      <c r="F48" s="2">
        <v>-5.8354975205211101E-2</v>
      </c>
      <c r="G48" s="2">
        <v>6.20736654958998E-2</v>
      </c>
      <c r="H48" s="2">
        <v>4.4188287037129903E-2</v>
      </c>
      <c r="I48" s="2">
        <v>2.53924489363004E-2</v>
      </c>
      <c r="J48" s="2"/>
      <c r="K48" s="4" t="s">
        <v>32</v>
      </c>
      <c r="L48" s="2">
        <f t="shared" si="0"/>
        <v>0.70958513006763901</v>
      </c>
    </row>
    <row r="49" spans="1:12" x14ac:dyDescent="0.25">
      <c r="A49" s="2">
        <v>-1.06460927114731E-2</v>
      </c>
      <c r="B49" s="2">
        <v>0.12554770929775499</v>
      </c>
      <c r="C49" s="2">
        <v>0.15194106781811101</v>
      </c>
      <c r="D49" s="2">
        <v>-1.3850918814001301E-2</v>
      </c>
      <c r="E49" s="2">
        <v>0.31861052791688599</v>
      </c>
      <c r="F49" s="2">
        <v>6.3014709306002906E-2</v>
      </c>
      <c r="G49" s="2">
        <v>9.8823728755547804E-2</v>
      </c>
      <c r="H49" s="2">
        <v>0.44584704229623201</v>
      </c>
      <c r="I49" s="2">
        <v>-6.8148360620694307E-2</v>
      </c>
      <c r="J49" s="2"/>
      <c r="K49" s="4" t="s">
        <v>59</v>
      </c>
      <c r="L49" s="2">
        <f t="shared" si="0"/>
        <v>0.44584704229623201</v>
      </c>
    </row>
    <row r="50" spans="1:12" x14ac:dyDescent="0.25">
      <c r="A50" s="2">
        <v>-1.15183626918149E-2</v>
      </c>
      <c r="B50" s="2">
        <v>-2.8369263822662201E-2</v>
      </c>
      <c r="C50" s="2">
        <v>0.139370913528891</v>
      </c>
      <c r="D50" s="2">
        <v>4.97384903221222E-2</v>
      </c>
      <c r="E50" s="2">
        <v>2.1950277152789001E-2</v>
      </c>
      <c r="F50" s="2">
        <v>0.23927160557225</v>
      </c>
      <c r="G50" s="2">
        <v>0.18363106791022599</v>
      </c>
      <c r="H50" s="2">
        <v>-5.3921014809965402E-3</v>
      </c>
      <c r="I50" s="2">
        <v>0.16979808503591701</v>
      </c>
      <c r="J50" s="2"/>
      <c r="K50" s="4" t="s">
        <v>60</v>
      </c>
      <c r="L50" s="2">
        <f t="shared" si="0"/>
        <v>0.23927160557225</v>
      </c>
    </row>
  </sheetData>
  <conditionalFormatting sqref="L2:L50">
    <cfRule type="cellIs" dxfId="44" priority="3" operator="lessThan">
      <formula>$O$2</formula>
    </cfRule>
  </conditionalFormatting>
  <conditionalFormatting sqref="A2:J50">
    <cfRule type="cellIs" dxfId="42" priority="1" operator="lessThan">
      <formula>$O$4</formula>
    </cfRule>
    <cfRule type="cellIs" dxfId="41" priority="2" operator="greaterThan">
      <formula>$O$3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zoomScale="85" zoomScaleNormal="85" workbookViewId="0">
      <selection activeCell="L29" sqref="L29"/>
    </sheetView>
  </sheetViews>
  <sheetFormatPr defaultRowHeight="15" x14ac:dyDescent="0.25"/>
  <cols>
    <col min="1" max="10" width="7" style="1" customWidth="1"/>
    <col min="11" max="11" width="11.5703125" style="3" customWidth="1"/>
    <col min="12" max="12" width="6" style="1" customWidth="1"/>
    <col min="13" max="14" width="9.140625" style="1"/>
    <col min="15" max="15" width="7.7109375" style="1" bestFit="1" customWidth="1"/>
    <col min="16" max="16" width="5.85546875" style="1" bestFit="1" customWidth="1"/>
    <col min="17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L1" s="1" t="s">
        <v>61</v>
      </c>
    </row>
    <row r="2" spans="1:15" x14ac:dyDescent="0.25">
      <c r="A2" s="2">
        <v>8.7786586474115802E-2</v>
      </c>
      <c r="B2" s="2">
        <v>-2.0176784369850199E-2</v>
      </c>
      <c r="C2" s="2">
        <v>0.122523406524308</v>
      </c>
      <c r="D2" s="2">
        <v>-0.18740110663388601</v>
      </c>
      <c r="E2" s="2">
        <v>0.44824941761273002</v>
      </c>
      <c r="F2" s="2">
        <v>1.7423428597328001E-2</v>
      </c>
      <c r="G2" s="2">
        <v>4.0640163149667098E-2</v>
      </c>
      <c r="H2" s="2">
        <v>-0.144998187428029</v>
      </c>
      <c r="I2" s="2"/>
      <c r="J2" s="2"/>
      <c r="K2" s="4" t="s">
        <v>12</v>
      </c>
      <c r="L2" s="2">
        <f>MAX(ABS(A2),ABS(B2),ABS(C2),ABS(D2),ABS(E2),ABS(F2),ABS(G2), ABS(H2), ABS(I2), ABS(J2))</f>
        <v>0.44824941761273002</v>
      </c>
      <c r="N2" s="1" t="s">
        <v>62</v>
      </c>
      <c r="O2" s="1">
        <f>oblimin!O2</f>
        <v>0.25</v>
      </c>
    </row>
    <row r="3" spans="1:15" x14ac:dyDescent="0.25">
      <c r="A3" s="2">
        <v>9.9741898381644507E-3</v>
      </c>
      <c r="B3" s="2">
        <v>-4.4006392984003301E-2</v>
      </c>
      <c r="C3" s="2">
        <v>1.24075931338592E-2</v>
      </c>
      <c r="D3" s="2">
        <v>-7.4076891234256897E-2</v>
      </c>
      <c r="E3" s="2">
        <v>0.76539971039846499</v>
      </c>
      <c r="F3" s="2">
        <v>-1.1572466071809199E-2</v>
      </c>
      <c r="G3" s="2">
        <v>2.1700246407829801E-2</v>
      </c>
      <c r="H3" s="2">
        <v>5.86308944327101E-2</v>
      </c>
      <c r="I3" s="2"/>
      <c r="J3" s="2"/>
      <c r="K3" s="4" t="s">
        <v>13</v>
      </c>
      <c r="L3" s="2">
        <f t="shared" ref="L3:L50" si="0">MAX(ABS(A3),ABS(B3),ABS(C3),ABS(D3),ABS(E3),ABS(F3),ABS(G3), ABS(H3), ABS(I3), ABS(J3))</f>
        <v>0.76539971039846499</v>
      </c>
      <c r="N3" s="1" t="s">
        <v>10</v>
      </c>
      <c r="O3" s="1">
        <f>O2</f>
        <v>0.25</v>
      </c>
    </row>
    <row r="4" spans="1:15" x14ac:dyDescent="0.25">
      <c r="A4" s="2">
        <v>8.2401394424057195E-2</v>
      </c>
      <c r="B4" s="2">
        <v>-1.0572400310986101E-2</v>
      </c>
      <c r="C4" s="2">
        <v>0.102138416874074</v>
      </c>
      <c r="D4" s="2">
        <v>-0.12850809665079799</v>
      </c>
      <c r="E4" s="2">
        <v>0.65304055236412495</v>
      </c>
      <c r="F4" s="2">
        <v>-0.13385358487379601</v>
      </c>
      <c r="G4" s="2">
        <v>0.100074225493348</v>
      </c>
      <c r="H4" s="2">
        <v>7.4236665437016304E-4</v>
      </c>
      <c r="I4" s="2"/>
      <c r="J4" s="2"/>
      <c r="K4" s="4" t="s">
        <v>17</v>
      </c>
      <c r="L4" s="2">
        <f t="shared" si="0"/>
        <v>0.65304055236412495</v>
      </c>
      <c r="N4" s="1" t="s">
        <v>11</v>
      </c>
      <c r="O4" s="1">
        <f>O3*-1</f>
        <v>-0.25</v>
      </c>
    </row>
    <row r="5" spans="1:15" x14ac:dyDescent="0.25">
      <c r="A5" s="2">
        <v>1.60514059631875E-2</v>
      </c>
      <c r="B5" s="2">
        <v>-0.119828525332587</v>
      </c>
      <c r="C5" s="2">
        <v>7.69268614260952E-2</v>
      </c>
      <c r="D5" s="2">
        <v>-3.6237609592700698E-2</v>
      </c>
      <c r="E5" s="2">
        <v>0.76534585091320695</v>
      </c>
      <c r="F5" s="2">
        <v>-6.2099254646273201E-2</v>
      </c>
      <c r="G5" s="2">
        <v>5.2718764871086302E-2</v>
      </c>
      <c r="H5" s="2">
        <v>3.75893057859868E-2</v>
      </c>
      <c r="I5" s="2"/>
      <c r="J5" s="2"/>
      <c r="K5" s="4" t="s">
        <v>18</v>
      </c>
      <c r="L5" s="2">
        <f t="shared" si="0"/>
        <v>0.76534585091320695</v>
      </c>
    </row>
    <row r="6" spans="1:15" x14ac:dyDescent="0.25">
      <c r="A6" s="2">
        <v>0.149066215308193</v>
      </c>
      <c r="B6" s="2">
        <v>0.19724590886009999</v>
      </c>
      <c r="C6" s="2">
        <v>0.215128356945505</v>
      </c>
      <c r="D6" s="2">
        <v>-0.14204784867745801</v>
      </c>
      <c r="E6" s="2">
        <v>0.30108044643781601</v>
      </c>
      <c r="F6" s="2">
        <v>-0.111748285034915</v>
      </c>
      <c r="G6" s="2">
        <v>5.6521646208988398E-2</v>
      </c>
      <c r="H6" s="2">
        <v>-5.4958514096553703E-2</v>
      </c>
      <c r="I6" s="2"/>
      <c r="J6" s="2"/>
      <c r="K6" s="4" t="s">
        <v>19</v>
      </c>
      <c r="L6" s="2">
        <f t="shared" si="0"/>
        <v>0.30108044643781601</v>
      </c>
    </row>
    <row r="7" spans="1:15" x14ac:dyDescent="0.25">
      <c r="A7" s="2">
        <v>-4.0226676127330697E-2</v>
      </c>
      <c r="B7" s="2">
        <v>6.8161882982742103E-2</v>
      </c>
      <c r="C7" s="2">
        <v>-0.11353793127273</v>
      </c>
      <c r="D7" s="2">
        <v>4.1194142972397499E-2</v>
      </c>
      <c r="E7" s="2">
        <v>0.59346038167547699</v>
      </c>
      <c r="F7" s="2">
        <v>0.21134138431998001</v>
      </c>
      <c r="G7" s="2">
        <v>-2.8622183741698598E-4</v>
      </c>
      <c r="H7" s="2">
        <v>5.1728323549840097E-2</v>
      </c>
      <c r="I7" s="2"/>
      <c r="J7" s="2"/>
      <c r="K7" s="4" t="s">
        <v>22</v>
      </c>
      <c r="L7" s="2">
        <f t="shared" si="0"/>
        <v>0.59346038167547699</v>
      </c>
    </row>
    <row r="8" spans="1:15" x14ac:dyDescent="0.25">
      <c r="A8" s="2">
        <v>2.6238898020188302E-3</v>
      </c>
      <c r="B8" s="2">
        <v>5.2862579445878098E-2</v>
      </c>
      <c r="C8" s="2">
        <v>0.94667411845692595</v>
      </c>
      <c r="D8" s="2">
        <v>1.20057623390357E-2</v>
      </c>
      <c r="E8" s="2">
        <v>9.4428022068647598E-3</v>
      </c>
      <c r="F8" s="2">
        <v>-4.7983871879228E-2</v>
      </c>
      <c r="G8" s="2">
        <v>1.4050253176091701E-2</v>
      </c>
      <c r="H8" s="2">
        <v>1.6426031209517598E-2</v>
      </c>
      <c r="I8" s="2"/>
      <c r="J8" s="2"/>
      <c r="K8" s="4" t="s">
        <v>34</v>
      </c>
      <c r="L8" s="2">
        <f t="shared" si="0"/>
        <v>0.94667411845692595</v>
      </c>
    </row>
    <row r="9" spans="1:15" x14ac:dyDescent="0.25">
      <c r="A9" s="2">
        <v>2.5709885288024301E-2</v>
      </c>
      <c r="B9" s="2">
        <v>-4.4566886392174099E-2</v>
      </c>
      <c r="C9" s="2">
        <v>0.83159395981275697</v>
      </c>
      <c r="D9" s="2">
        <v>-3.4105138956213997E-2</v>
      </c>
      <c r="E9" s="2">
        <v>3.27493803595751E-2</v>
      </c>
      <c r="F9" s="2">
        <v>6.0660663685177002E-2</v>
      </c>
      <c r="G9" s="2">
        <v>1.8382155440119199E-2</v>
      </c>
      <c r="H9" s="2">
        <v>1.8329215160823201E-2</v>
      </c>
      <c r="I9" s="2"/>
      <c r="J9" s="2"/>
      <c r="K9" s="4" t="s">
        <v>37</v>
      </c>
      <c r="L9" s="2">
        <f t="shared" si="0"/>
        <v>0.83159395981275697</v>
      </c>
    </row>
    <row r="10" spans="1:15" x14ac:dyDescent="0.25">
      <c r="A10" s="2">
        <v>-4.13334578442291E-2</v>
      </c>
      <c r="B10" s="2">
        <v>0.381129389518576</v>
      </c>
      <c r="C10" s="2">
        <v>4.80208920100023E-2</v>
      </c>
      <c r="D10" s="2">
        <v>6.6147667090891801E-2</v>
      </c>
      <c r="E10" s="2">
        <v>6.7485478724918002E-2</v>
      </c>
      <c r="F10" s="2">
        <v>0.33225514299484499</v>
      </c>
      <c r="G10" s="2">
        <v>8.2919912861815007E-2</v>
      </c>
      <c r="H10" s="2">
        <v>0.13699098333575399</v>
      </c>
      <c r="I10" s="2"/>
      <c r="J10" s="2"/>
      <c r="K10" s="4" t="s">
        <v>14</v>
      </c>
      <c r="L10" s="2">
        <f t="shared" si="0"/>
        <v>0.381129389518576</v>
      </c>
    </row>
    <row r="11" spans="1:15" x14ac:dyDescent="0.25">
      <c r="A11" s="2">
        <v>5.3707410440657103E-3</v>
      </c>
      <c r="B11" s="2">
        <v>3.9916910385148399E-2</v>
      </c>
      <c r="C11" s="2">
        <v>0.96584541570243598</v>
      </c>
      <c r="D11" s="2">
        <v>2.70333172756099E-3</v>
      </c>
      <c r="E11" s="2">
        <v>-1.0059149703606499E-2</v>
      </c>
      <c r="F11" s="2">
        <v>-1.5492878608810301E-2</v>
      </c>
      <c r="G11" s="2">
        <v>2.48530366147557E-2</v>
      </c>
      <c r="H11" s="2">
        <v>5.7204909855840397E-3</v>
      </c>
      <c r="I11" s="2"/>
      <c r="J11" s="2"/>
      <c r="K11" s="4" t="s">
        <v>15</v>
      </c>
      <c r="L11" s="2">
        <f t="shared" si="0"/>
        <v>0.96584541570243598</v>
      </c>
    </row>
    <row r="12" spans="1:15" x14ac:dyDescent="0.25">
      <c r="A12" s="2">
        <v>9.2763008303911702E-3</v>
      </c>
      <c r="B12" s="2">
        <v>-1.9284077605431701E-2</v>
      </c>
      <c r="C12" s="2">
        <v>0.87022278921622798</v>
      </c>
      <c r="D12" s="2">
        <v>-1.6978561184943199E-2</v>
      </c>
      <c r="E12" s="2">
        <v>3.07827143025639E-2</v>
      </c>
      <c r="F12" s="2">
        <v>1.82569119682899E-2</v>
      </c>
      <c r="G12" s="2">
        <v>1.7195875518040499E-2</v>
      </c>
      <c r="H12" s="2">
        <v>2.97432725602584E-2</v>
      </c>
      <c r="I12" s="2"/>
      <c r="J12" s="2"/>
      <c r="K12" s="4" t="s">
        <v>24</v>
      </c>
      <c r="L12" s="2">
        <f t="shared" si="0"/>
        <v>0.87022278921622798</v>
      </c>
    </row>
    <row r="13" spans="1:15" x14ac:dyDescent="0.25">
      <c r="A13" s="2">
        <v>4.0200528936218102E-2</v>
      </c>
      <c r="B13" s="2">
        <v>6.8765261942824396E-2</v>
      </c>
      <c r="C13" s="2">
        <v>8.0361103999069997E-2</v>
      </c>
      <c r="D13" s="2">
        <v>-4.7922085415828498E-3</v>
      </c>
      <c r="E13" s="2">
        <v>8.57346515515926E-2</v>
      </c>
      <c r="F13" s="2">
        <v>2.33484958707342E-2</v>
      </c>
      <c r="G13" s="2">
        <v>0.802785291775577</v>
      </c>
      <c r="H13" s="2">
        <v>4.72546310772885E-2</v>
      </c>
      <c r="I13" s="2"/>
      <c r="J13" s="2"/>
      <c r="K13" s="4" t="s">
        <v>38</v>
      </c>
      <c r="L13" s="2">
        <f t="shared" si="0"/>
        <v>0.802785291775577</v>
      </c>
    </row>
    <row r="14" spans="1:15" x14ac:dyDescent="0.25">
      <c r="A14" s="2">
        <v>2.6270057238192399E-2</v>
      </c>
      <c r="B14" s="2">
        <v>2.51369330903169E-2</v>
      </c>
      <c r="C14" s="2">
        <v>5.3070965865606098E-2</v>
      </c>
      <c r="D14" s="2">
        <v>-3.5282117473801398E-3</v>
      </c>
      <c r="E14" s="2">
        <v>3.3968729821500898E-2</v>
      </c>
      <c r="F14" s="2">
        <v>2.7295919433496501E-2</v>
      </c>
      <c r="G14" s="2">
        <v>0.81313882572051799</v>
      </c>
      <c r="H14" s="2">
        <v>4.9814248071062599E-2</v>
      </c>
      <c r="I14" s="2"/>
      <c r="J14" s="2"/>
      <c r="K14" s="4" t="s">
        <v>28</v>
      </c>
      <c r="L14" s="2">
        <f t="shared" si="0"/>
        <v>0.81313882572051799</v>
      </c>
    </row>
    <row r="15" spans="1:15" x14ac:dyDescent="0.25">
      <c r="A15" s="2">
        <v>0.131724580877046</v>
      </c>
      <c r="B15" s="2">
        <v>0.40844101668717298</v>
      </c>
      <c r="C15" s="2">
        <v>-0.109488424205445</v>
      </c>
      <c r="D15" s="2">
        <v>-2.68544120682519E-3</v>
      </c>
      <c r="E15" s="2">
        <v>0.20373172713696799</v>
      </c>
      <c r="F15" s="2">
        <v>0.225786943544732</v>
      </c>
      <c r="G15" s="2">
        <v>-0.278212433817011</v>
      </c>
      <c r="H15" s="2">
        <v>3.1353071165994201E-2</v>
      </c>
      <c r="I15" s="2"/>
      <c r="J15" s="2"/>
      <c r="K15" s="4" t="s">
        <v>39</v>
      </c>
      <c r="L15" s="2">
        <f t="shared" si="0"/>
        <v>0.40844101668717298</v>
      </c>
    </row>
    <row r="16" spans="1:15" x14ac:dyDescent="0.25">
      <c r="A16" s="2">
        <v>1.09738862212907E-2</v>
      </c>
      <c r="B16" s="2">
        <v>0.40806906438364998</v>
      </c>
      <c r="C16" s="2">
        <v>1.4942812231142501E-2</v>
      </c>
      <c r="D16" s="2">
        <v>3.2380030175751501E-2</v>
      </c>
      <c r="E16" s="2">
        <v>0.17380753070743499</v>
      </c>
      <c r="F16" s="2">
        <v>0.14785920070264799</v>
      </c>
      <c r="G16" s="2">
        <v>-0.31868492230615297</v>
      </c>
      <c r="H16" s="2">
        <v>9.5340497672791194E-2</v>
      </c>
      <c r="I16" s="2"/>
      <c r="J16" s="2"/>
      <c r="K16" s="4" t="s">
        <v>26</v>
      </c>
      <c r="L16" s="2">
        <f t="shared" si="0"/>
        <v>0.40806906438364998</v>
      </c>
    </row>
    <row r="17" spans="1:12" x14ac:dyDescent="0.25">
      <c r="A17" s="2">
        <v>-4.4246944743264002E-2</v>
      </c>
      <c r="B17" s="2">
        <v>2.1454038167828801E-2</v>
      </c>
      <c r="C17" s="2">
        <v>0.147169250442825</v>
      </c>
      <c r="D17" s="2">
        <v>-2.9645677624988301E-3</v>
      </c>
      <c r="E17" s="2">
        <v>0.17648738288560101</v>
      </c>
      <c r="F17" s="2">
        <v>-7.0970648311385998E-2</v>
      </c>
      <c r="G17" s="2">
        <v>0.30175273138560699</v>
      </c>
      <c r="H17" s="2">
        <v>0.12069272221960101</v>
      </c>
      <c r="I17" s="2"/>
      <c r="J17" s="2"/>
      <c r="K17" s="4" t="s">
        <v>35</v>
      </c>
      <c r="L17" s="2">
        <f t="shared" si="0"/>
        <v>0.30175273138560699</v>
      </c>
    </row>
    <row r="18" spans="1:12" x14ac:dyDescent="0.25">
      <c r="A18" s="2">
        <v>0.113321740834678</v>
      </c>
      <c r="B18" s="2">
        <v>0.77391666242831203</v>
      </c>
      <c r="C18" s="2">
        <v>-2.1381970494066999E-2</v>
      </c>
      <c r="D18" s="2">
        <v>-4.27860049123297E-2</v>
      </c>
      <c r="E18" s="2">
        <v>-1.97167169053389E-2</v>
      </c>
      <c r="F18" s="2">
        <v>-4.8744744783467998E-2</v>
      </c>
      <c r="G18" s="2">
        <v>0.12640153115980199</v>
      </c>
      <c r="H18" s="2">
        <v>-1.3429198769591599E-3</v>
      </c>
      <c r="I18" s="2"/>
      <c r="J18" s="2"/>
      <c r="K18" s="4" t="s">
        <v>40</v>
      </c>
      <c r="L18" s="2">
        <f t="shared" si="0"/>
        <v>0.77391666242831203</v>
      </c>
    </row>
    <row r="19" spans="1:12" x14ac:dyDescent="0.25">
      <c r="A19" s="2">
        <v>8.4121218395148301E-2</v>
      </c>
      <c r="B19" s="2">
        <v>-0.172031823263818</v>
      </c>
      <c r="C19" s="2">
        <v>-6.5263646412148699E-2</v>
      </c>
      <c r="D19" s="2">
        <v>-6.5832055665263095E-2</v>
      </c>
      <c r="E19" s="2">
        <v>8.0486539326771495E-2</v>
      </c>
      <c r="F19" s="2">
        <v>0.194286460581611</v>
      </c>
      <c r="G19" s="2">
        <v>0.30058751612545398</v>
      </c>
      <c r="H19" s="2">
        <v>3.3246007992579103E-2</v>
      </c>
      <c r="I19" s="2"/>
      <c r="J19" s="2"/>
      <c r="K19" s="4" t="s">
        <v>33</v>
      </c>
      <c r="L19" s="2">
        <f t="shared" si="0"/>
        <v>0.30058751612545398</v>
      </c>
    </row>
    <row r="20" spans="1:12" x14ac:dyDescent="0.25">
      <c r="A20" s="2">
        <v>3.7463979098306503E-2</v>
      </c>
      <c r="B20" s="2">
        <v>0.88331945453327598</v>
      </c>
      <c r="C20" s="2">
        <v>9.0361232368886494E-3</v>
      </c>
      <c r="D20" s="2">
        <v>-3.0719492629781499E-2</v>
      </c>
      <c r="E20" s="2">
        <v>-7.8072267169444598E-2</v>
      </c>
      <c r="F20" s="2">
        <v>-9.5192281385789598E-2</v>
      </c>
      <c r="G20" s="2">
        <v>-2.34146474341872E-2</v>
      </c>
      <c r="H20" s="2">
        <v>-4.8003027868551698E-3</v>
      </c>
      <c r="I20" s="2"/>
      <c r="J20" s="2"/>
      <c r="K20" s="4" t="s">
        <v>27</v>
      </c>
      <c r="L20" s="2">
        <f t="shared" si="0"/>
        <v>0.88331945453327598</v>
      </c>
    </row>
    <row r="21" spans="1:12" x14ac:dyDescent="0.25">
      <c r="A21" s="2">
        <v>4.1287307172754098E-2</v>
      </c>
      <c r="B21" s="2">
        <v>-0.23478166163942299</v>
      </c>
      <c r="C21" s="2">
        <v>0.41502557125994499</v>
      </c>
      <c r="D21" s="2">
        <v>1.8843496827278899E-2</v>
      </c>
      <c r="E21" s="2">
        <v>7.35679022738428E-2</v>
      </c>
      <c r="F21" s="2">
        <v>0.24238489930774301</v>
      </c>
      <c r="G21" s="2">
        <v>0.136944085821088</v>
      </c>
      <c r="H21" s="2">
        <v>3.8084632920471297E-2</v>
      </c>
      <c r="I21" s="2"/>
      <c r="J21" s="2"/>
      <c r="K21" s="4" t="s">
        <v>41</v>
      </c>
      <c r="L21" s="2">
        <f t="shared" si="0"/>
        <v>0.41502557125994499</v>
      </c>
    </row>
    <row r="22" spans="1:12" x14ac:dyDescent="0.25">
      <c r="A22" s="2">
        <v>-9.3172609963722106E-2</v>
      </c>
      <c r="B22" s="2">
        <v>0.729244040875768</v>
      </c>
      <c r="C22" s="2">
        <v>8.3929547181973901E-2</v>
      </c>
      <c r="D22" s="2">
        <v>-3.7126802706631602E-3</v>
      </c>
      <c r="E22" s="2">
        <v>-5.1616715304074702E-3</v>
      </c>
      <c r="F22" s="2">
        <v>0.13422709983409101</v>
      </c>
      <c r="G22" s="2">
        <v>-3.6599521537372101E-2</v>
      </c>
      <c r="H22" s="2">
        <v>7.4816234293584305E-2</v>
      </c>
      <c r="I22" s="2"/>
      <c r="J22" s="2"/>
      <c r="K22" s="4" t="s">
        <v>42</v>
      </c>
      <c r="L22" s="2">
        <f t="shared" si="0"/>
        <v>0.729244040875768</v>
      </c>
    </row>
    <row r="23" spans="1:12" x14ac:dyDescent="0.25">
      <c r="A23" s="2">
        <v>0.92863591921137001</v>
      </c>
      <c r="B23" s="2">
        <v>-3.0181425403863E-2</v>
      </c>
      <c r="C23" s="2">
        <v>4.57684624881795E-2</v>
      </c>
      <c r="D23" s="2">
        <v>1.01504576109931E-2</v>
      </c>
      <c r="E23" s="2">
        <v>1.0018189209132E-2</v>
      </c>
      <c r="F23" s="2">
        <v>-3.6967683065825499E-2</v>
      </c>
      <c r="G23" s="2">
        <v>2.0075897951293799E-2</v>
      </c>
      <c r="H23" s="2">
        <v>5.4322279074522598E-2</v>
      </c>
      <c r="I23" s="2"/>
      <c r="J23" s="2"/>
      <c r="K23" s="4" t="s">
        <v>43</v>
      </c>
      <c r="L23" s="2">
        <f t="shared" si="0"/>
        <v>0.92863591921137001</v>
      </c>
    </row>
    <row r="24" spans="1:12" x14ac:dyDescent="0.25">
      <c r="A24" s="2">
        <v>4.8888029296813601E-2</v>
      </c>
      <c r="B24" s="2">
        <v>2.0849578835292801E-2</v>
      </c>
      <c r="C24" s="2">
        <v>2.8582864030838699E-2</v>
      </c>
      <c r="D24" s="2">
        <v>1.2330811456461701E-3</v>
      </c>
      <c r="E24" s="2">
        <v>-1.9717017270193802E-3</v>
      </c>
      <c r="F24" s="2">
        <v>-4.17674311405739E-2</v>
      </c>
      <c r="G24" s="2">
        <v>-8.6976399424274903E-3</v>
      </c>
      <c r="H24" s="2">
        <v>0.92857635295336505</v>
      </c>
      <c r="I24" s="2"/>
      <c r="J24" s="2"/>
      <c r="K24" s="4" t="s">
        <v>44</v>
      </c>
      <c r="L24" s="2">
        <f t="shared" si="0"/>
        <v>0.92857635295336505</v>
      </c>
    </row>
    <row r="25" spans="1:12" x14ac:dyDescent="0.25">
      <c r="A25" s="2">
        <v>0.89226286691800605</v>
      </c>
      <c r="B25" s="2">
        <v>-2.06089912263928E-2</v>
      </c>
      <c r="C25" s="2">
        <v>3.0555048019622898E-2</v>
      </c>
      <c r="D25" s="2">
        <v>-5.0074677991444903E-2</v>
      </c>
      <c r="E25" s="2">
        <v>3.6478383475512699E-3</v>
      </c>
      <c r="F25" s="2">
        <v>-6.2335465191450702E-2</v>
      </c>
      <c r="G25" s="2">
        <v>1.1630701454919901E-2</v>
      </c>
      <c r="H25" s="2">
        <v>5.3448832256502501E-2</v>
      </c>
      <c r="I25" s="2"/>
      <c r="J25" s="2"/>
      <c r="K25" s="4" t="s">
        <v>45</v>
      </c>
      <c r="L25" s="2">
        <f t="shared" si="0"/>
        <v>0.89226286691800605</v>
      </c>
    </row>
    <row r="26" spans="1:12" x14ac:dyDescent="0.25">
      <c r="A26" s="2">
        <v>0.186600351713612</v>
      </c>
      <c r="B26" s="2">
        <v>-2.3734733601620601E-2</v>
      </c>
      <c r="C26" s="2">
        <v>-7.6802570510957596E-2</v>
      </c>
      <c r="D26" s="2">
        <v>-9.8249041132127596E-2</v>
      </c>
      <c r="E26" s="2">
        <v>4.4060814537543701E-3</v>
      </c>
      <c r="F26" s="2">
        <v>7.3099009651593799E-2</v>
      </c>
      <c r="G26" s="2">
        <v>0.116272922913761</v>
      </c>
      <c r="H26" s="2">
        <v>0.35560409401545801</v>
      </c>
      <c r="I26" s="2"/>
      <c r="J26" s="2"/>
      <c r="K26" s="4" t="s">
        <v>30</v>
      </c>
      <c r="L26" s="2">
        <f t="shared" si="0"/>
        <v>0.35560409401545801</v>
      </c>
    </row>
    <row r="27" spans="1:12" x14ac:dyDescent="0.25">
      <c r="A27" s="2">
        <v>1.11573509790785E-2</v>
      </c>
      <c r="B27" s="2">
        <v>-2.5389403635645701E-2</v>
      </c>
      <c r="C27" s="2">
        <v>1.49953577922866E-2</v>
      </c>
      <c r="D27" s="2">
        <v>-2.47681948806448E-2</v>
      </c>
      <c r="E27" s="2">
        <v>-8.7997026758739692E-3</v>
      </c>
      <c r="F27" s="2">
        <v>-1.64498272747459E-2</v>
      </c>
      <c r="G27" s="2">
        <v>2.2027372719828801E-2</v>
      </c>
      <c r="H27" s="2">
        <v>0.94519995727480999</v>
      </c>
      <c r="I27" s="2"/>
      <c r="J27" s="2"/>
      <c r="K27" s="4" t="s">
        <v>31</v>
      </c>
      <c r="L27" s="2">
        <f t="shared" si="0"/>
        <v>0.94519995727480999</v>
      </c>
    </row>
    <row r="28" spans="1:12" x14ac:dyDescent="0.25">
      <c r="A28" s="2">
        <v>0.64590847338603896</v>
      </c>
      <c r="B28" s="2">
        <v>0.187266788996485</v>
      </c>
      <c r="C28" s="2">
        <v>-0.11680852731314401</v>
      </c>
      <c r="D28" s="2">
        <v>3.6135139941995097E-2</v>
      </c>
      <c r="E28" s="2">
        <v>3.0653715296649401E-2</v>
      </c>
      <c r="F28" s="2">
        <v>0.174134838562197</v>
      </c>
      <c r="G28" s="2">
        <v>7.5143065134451303E-3</v>
      </c>
      <c r="H28" s="2">
        <v>0.13447340496545901</v>
      </c>
      <c r="I28" s="2"/>
      <c r="J28" s="2"/>
      <c r="K28" s="4" t="s">
        <v>21</v>
      </c>
      <c r="L28" s="2">
        <f t="shared" si="0"/>
        <v>0.64590847338603896</v>
      </c>
    </row>
    <row r="29" spans="1:12" x14ac:dyDescent="0.25">
      <c r="A29" s="2">
        <v>0.13393932129689501</v>
      </c>
      <c r="B29" s="2">
        <v>-2.36276024811793E-4</v>
      </c>
      <c r="C29" s="2">
        <v>1.70992338530188E-2</v>
      </c>
      <c r="D29" s="2">
        <v>-0.10501976832888101</v>
      </c>
      <c r="E29" s="2">
        <v>0.17247211870079601</v>
      </c>
      <c r="F29" s="2">
        <v>0.121392874856179</v>
      </c>
      <c r="G29" s="2">
        <v>0.11064222340141899</v>
      </c>
      <c r="H29" s="2">
        <v>0.203348261379665</v>
      </c>
      <c r="I29" s="2"/>
      <c r="J29" s="2"/>
      <c r="K29" s="4" t="s">
        <v>46</v>
      </c>
      <c r="L29" s="2">
        <f t="shared" si="0"/>
        <v>0.203348261379665</v>
      </c>
    </row>
    <row r="30" spans="1:12" x14ac:dyDescent="0.25">
      <c r="A30" s="2">
        <v>0.12602502516262201</v>
      </c>
      <c r="B30" s="2">
        <v>0.27630060470379098</v>
      </c>
      <c r="C30" s="2">
        <v>-0.191840385199809</v>
      </c>
      <c r="D30" s="2">
        <v>5.6704960204809703E-2</v>
      </c>
      <c r="E30" s="2">
        <v>0.20813644756376001</v>
      </c>
      <c r="F30" s="2">
        <v>0.31721299730206598</v>
      </c>
      <c r="G30" s="2">
        <v>-4.3293214636574401E-2</v>
      </c>
      <c r="H30" s="2">
        <v>0.13367803104741399</v>
      </c>
      <c r="I30" s="2"/>
      <c r="J30" s="2"/>
      <c r="K30" s="4" t="s">
        <v>25</v>
      </c>
      <c r="L30" s="2">
        <f t="shared" si="0"/>
        <v>0.31721299730206598</v>
      </c>
    </row>
    <row r="31" spans="1:12" x14ac:dyDescent="0.25">
      <c r="A31" s="2">
        <v>4.8392123781954503E-2</v>
      </c>
      <c r="B31" s="2">
        <v>7.1713946607906295E-2</v>
      </c>
      <c r="C31" s="2">
        <v>-5.9386516992381101E-2</v>
      </c>
      <c r="D31" s="2">
        <v>-6.1975770025028298E-2</v>
      </c>
      <c r="E31" s="2">
        <v>0.141929049064073</v>
      </c>
      <c r="F31" s="2">
        <v>5.0498161831974898E-2</v>
      </c>
      <c r="G31" s="2">
        <v>0.13628737053641199</v>
      </c>
      <c r="H31" s="2">
        <v>0.41471614060421402</v>
      </c>
      <c r="I31" s="2"/>
      <c r="J31" s="2"/>
      <c r="K31" s="4" t="s">
        <v>47</v>
      </c>
      <c r="L31" s="2">
        <f t="shared" si="0"/>
        <v>0.41471614060421402</v>
      </c>
    </row>
    <row r="32" spans="1:12" x14ac:dyDescent="0.25">
      <c r="A32" s="2">
        <v>0.152067132112957</v>
      </c>
      <c r="B32" s="2">
        <v>-0.121260213066711</v>
      </c>
      <c r="C32" s="2">
        <v>0.30594645936510001</v>
      </c>
      <c r="D32" s="2">
        <v>-0.26506210308505002</v>
      </c>
      <c r="E32" s="2">
        <v>-1.37297174473046E-2</v>
      </c>
      <c r="F32" s="2">
        <v>0.371504406987268</v>
      </c>
      <c r="G32" s="2">
        <v>3.1426224081431302E-2</v>
      </c>
      <c r="H32" s="2">
        <v>3.6763216521991202E-2</v>
      </c>
      <c r="I32" s="2"/>
      <c r="J32" s="2"/>
      <c r="K32" s="4" t="s">
        <v>16</v>
      </c>
      <c r="L32" s="2">
        <f t="shared" si="0"/>
        <v>0.371504406987268</v>
      </c>
    </row>
    <row r="33" spans="1:12" x14ac:dyDescent="0.25">
      <c r="A33" s="2">
        <v>0.22421013072792101</v>
      </c>
      <c r="B33" s="2">
        <v>-6.57575008863166E-2</v>
      </c>
      <c r="C33" s="2">
        <v>0.14950999388587499</v>
      </c>
      <c r="D33" s="2">
        <v>-0.177123924948031</v>
      </c>
      <c r="E33" s="2">
        <v>0.110300163219477</v>
      </c>
      <c r="F33" s="2">
        <v>0.38903671165735598</v>
      </c>
      <c r="G33" s="2">
        <v>6.2084125855427899E-2</v>
      </c>
      <c r="H33" s="2">
        <v>9.2620081258404596E-2</v>
      </c>
      <c r="I33" s="2"/>
      <c r="J33" s="2"/>
      <c r="K33" s="4" t="s">
        <v>23</v>
      </c>
      <c r="L33" s="2">
        <f t="shared" si="0"/>
        <v>0.38903671165735598</v>
      </c>
    </row>
    <row r="34" spans="1:12" x14ac:dyDescent="0.25">
      <c r="A34" s="2">
        <v>0.10948727068118599</v>
      </c>
      <c r="B34" s="2">
        <v>-9.9701586553920807E-2</v>
      </c>
      <c r="C34" s="2">
        <v>7.5688904485635394E-2</v>
      </c>
      <c r="D34" s="2">
        <v>-0.35584733322003897</v>
      </c>
      <c r="E34" s="2">
        <v>-6.39227177765581E-2</v>
      </c>
      <c r="F34" s="2">
        <v>0.40526047603426901</v>
      </c>
      <c r="G34" s="2">
        <v>0.201647846636024</v>
      </c>
      <c r="H34" s="2">
        <v>-4.0768797117835001E-2</v>
      </c>
      <c r="I34" s="2"/>
      <c r="J34" s="2"/>
      <c r="K34" s="4" t="s">
        <v>48</v>
      </c>
      <c r="L34" s="2">
        <f t="shared" si="0"/>
        <v>0.40526047603426901</v>
      </c>
    </row>
    <row r="35" spans="1:12" x14ac:dyDescent="0.25">
      <c r="A35" s="2">
        <v>-8.1111074811507894E-2</v>
      </c>
      <c r="B35" s="2">
        <v>0.39112370159745902</v>
      </c>
      <c r="C35" s="2">
        <v>-0.12398664734779</v>
      </c>
      <c r="D35" s="2">
        <v>-0.166794749159758</v>
      </c>
      <c r="E35" s="2">
        <v>-1.9497772344781599E-2</v>
      </c>
      <c r="F35" s="2">
        <v>0.30737035809935398</v>
      </c>
      <c r="G35" s="2">
        <v>0.14899289444988001</v>
      </c>
      <c r="H35" s="2">
        <v>-2.7420267045482501E-2</v>
      </c>
      <c r="I35" s="2"/>
      <c r="J35" s="2"/>
      <c r="K35" s="4" t="s">
        <v>49</v>
      </c>
      <c r="L35" s="2">
        <f t="shared" si="0"/>
        <v>0.39112370159745902</v>
      </c>
    </row>
    <row r="36" spans="1:12" x14ac:dyDescent="0.25">
      <c r="A36" s="2">
        <v>7.5864758894844994E-2</v>
      </c>
      <c r="B36" s="2">
        <v>-3.4889516827784697E-2</v>
      </c>
      <c r="C36" s="2">
        <v>0.130883391527195</v>
      </c>
      <c r="D36" s="2">
        <v>-0.69893152897305999</v>
      </c>
      <c r="E36" s="2">
        <v>1.682226811655E-2</v>
      </c>
      <c r="F36" s="2">
        <v>0.12597447283287</v>
      </c>
      <c r="G36" s="2">
        <v>3.4434016502725699E-2</v>
      </c>
      <c r="H36" s="2">
        <v>8.9840745678309404E-4</v>
      </c>
      <c r="I36" s="2"/>
      <c r="J36" s="2"/>
      <c r="K36" s="4" t="s">
        <v>36</v>
      </c>
      <c r="L36" s="2">
        <f t="shared" si="0"/>
        <v>0.69893152897305999</v>
      </c>
    </row>
    <row r="37" spans="1:12" x14ac:dyDescent="0.25">
      <c r="A37" s="2">
        <v>-1.60975674539978E-3</v>
      </c>
      <c r="B37" s="2">
        <v>8.6493836084134496E-2</v>
      </c>
      <c r="C37" s="2">
        <v>0.106708401659174</v>
      </c>
      <c r="D37" s="2">
        <v>-0.56268732989076597</v>
      </c>
      <c r="E37" s="2">
        <v>8.2184756267801001E-2</v>
      </c>
      <c r="F37" s="2">
        <v>-2.6435787073307501E-2</v>
      </c>
      <c r="G37" s="2">
        <v>0.12822488798158199</v>
      </c>
      <c r="H37" s="2">
        <v>-5.1511946513352197E-2</v>
      </c>
      <c r="I37" s="2"/>
      <c r="J37" s="2"/>
      <c r="K37" s="4" t="s">
        <v>50</v>
      </c>
      <c r="L37" s="2">
        <f t="shared" si="0"/>
        <v>0.56268732989076597</v>
      </c>
    </row>
    <row r="38" spans="1:12" x14ac:dyDescent="0.25">
      <c r="A38" s="2">
        <v>-5.12935435905887E-2</v>
      </c>
      <c r="B38" s="2">
        <v>5.2273278312940097E-2</v>
      </c>
      <c r="C38" s="2">
        <v>2.7872245365741202E-2</v>
      </c>
      <c r="D38" s="2">
        <v>-0.83453397728933998</v>
      </c>
      <c r="E38" s="2">
        <v>9.1333617866012906E-2</v>
      </c>
      <c r="F38" s="2">
        <v>-4.1400475155085603E-2</v>
      </c>
      <c r="G38" s="2">
        <v>5.2019935125000201E-2</v>
      </c>
      <c r="H38" s="2">
        <v>5.3589133106876803E-3</v>
      </c>
      <c r="I38" s="2"/>
      <c r="J38" s="2"/>
      <c r="K38" s="4" t="s">
        <v>51</v>
      </c>
      <c r="L38" s="2">
        <f t="shared" si="0"/>
        <v>0.83453397728933998</v>
      </c>
    </row>
    <row r="39" spans="1:12" x14ac:dyDescent="0.25">
      <c r="A39" s="2">
        <v>-7.4492437055611897E-3</v>
      </c>
      <c r="B39" s="2">
        <v>-5.2474947512028303E-2</v>
      </c>
      <c r="C39" s="2">
        <v>-4.6440398933846598E-2</v>
      </c>
      <c r="D39" s="2">
        <v>-0.88369684592659803</v>
      </c>
      <c r="E39" s="2">
        <v>-1.61722019157849E-2</v>
      </c>
      <c r="F39" s="2">
        <v>1.84045728346021E-2</v>
      </c>
      <c r="G39" s="2">
        <v>-5.6576753663069503E-2</v>
      </c>
      <c r="H39" s="2">
        <v>0.107236013868062</v>
      </c>
      <c r="I39" s="2"/>
      <c r="J39" s="2"/>
      <c r="K39" s="4" t="s">
        <v>20</v>
      </c>
      <c r="L39" s="2">
        <f t="shared" si="0"/>
        <v>0.88369684592659803</v>
      </c>
    </row>
    <row r="40" spans="1:12" x14ac:dyDescent="0.25">
      <c r="A40" s="2">
        <v>7.4318806057427399E-3</v>
      </c>
      <c r="B40" s="2">
        <v>7.09334482735334E-2</v>
      </c>
      <c r="C40" s="2">
        <v>4.8026698985513202E-4</v>
      </c>
      <c r="D40" s="2">
        <v>-0.90352362256654195</v>
      </c>
      <c r="E40" s="2">
        <v>6.45474516779867E-2</v>
      </c>
      <c r="F40" s="2">
        <v>-9.2543134494379106E-2</v>
      </c>
      <c r="G40" s="2">
        <v>-4.5045735780369399E-3</v>
      </c>
      <c r="H40" s="2">
        <v>-8.3326553179440006E-3</v>
      </c>
      <c r="I40" s="2"/>
      <c r="J40" s="2"/>
      <c r="K40" s="4" t="s">
        <v>52</v>
      </c>
      <c r="L40" s="2">
        <f t="shared" si="0"/>
        <v>0.90352362256654195</v>
      </c>
    </row>
    <row r="41" spans="1:12" x14ac:dyDescent="0.25">
      <c r="A41" s="2">
        <v>1.9349814694147101E-2</v>
      </c>
      <c r="B41" s="2">
        <v>0.108915777246954</v>
      </c>
      <c r="C41" s="2">
        <v>0.16463529164618301</v>
      </c>
      <c r="D41" s="2">
        <v>-8.7299309565587804E-2</v>
      </c>
      <c r="E41" s="2">
        <v>1.66586555351135E-2</v>
      </c>
      <c r="F41" s="2">
        <v>0.52901525921909498</v>
      </c>
      <c r="G41" s="2">
        <v>-2.1066437474425399E-2</v>
      </c>
      <c r="H41" s="2">
        <v>2.6159994974969802E-2</v>
      </c>
      <c r="I41" s="2"/>
      <c r="J41" s="2"/>
      <c r="K41" s="4" t="s">
        <v>53</v>
      </c>
      <c r="L41" s="2">
        <f t="shared" si="0"/>
        <v>0.52901525921909498</v>
      </c>
    </row>
    <row r="42" spans="1:12" x14ac:dyDescent="0.25">
      <c r="A42" s="2">
        <v>0.34112566662024801</v>
      </c>
      <c r="B42" s="2">
        <v>0.18693963998409099</v>
      </c>
      <c r="C42" s="2">
        <v>4.1052187280667798E-2</v>
      </c>
      <c r="D42" s="2">
        <v>-5.2143633046259102E-2</v>
      </c>
      <c r="E42" s="2">
        <v>3.15139018192266E-2</v>
      </c>
      <c r="F42" s="2">
        <v>0.41840502688965298</v>
      </c>
      <c r="G42" s="2">
        <v>3.0926164431668301E-2</v>
      </c>
      <c r="H42" s="2">
        <v>-4.6946756661918297E-2</v>
      </c>
      <c r="I42" s="2"/>
      <c r="J42" s="2"/>
      <c r="K42" s="4" t="s">
        <v>54</v>
      </c>
      <c r="L42" s="2">
        <f t="shared" si="0"/>
        <v>0.41840502688965298</v>
      </c>
    </row>
    <row r="43" spans="1:12" x14ac:dyDescent="0.25">
      <c r="A43" s="2">
        <v>-2.2452951885867E-2</v>
      </c>
      <c r="B43" s="2">
        <v>0.245231244044225</v>
      </c>
      <c r="C43" s="2">
        <v>3.4804795995350499E-3</v>
      </c>
      <c r="D43" s="2">
        <v>0.103406562819438</v>
      </c>
      <c r="E43" s="2">
        <v>0.25484034895344299</v>
      </c>
      <c r="F43" s="2">
        <v>0.33724717913100499</v>
      </c>
      <c r="G43" s="2">
        <v>-0.18577700358626401</v>
      </c>
      <c r="H43" s="2">
        <v>7.1826798142026896E-3</v>
      </c>
      <c r="I43" s="2"/>
      <c r="J43" s="2"/>
      <c r="K43" s="4" t="s">
        <v>29</v>
      </c>
      <c r="L43" s="2">
        <f t="shared" si="0"/>
        <v>0.33724717913100499</v>
      </c>
    </row>
    <row r="44" spans="1:12" x14ac:dyDescent="0.25">
      <c r="A44" s="2">
        <v>-5.0976366265259396E-3</v>
      </c>
      <c r="B44" s="2">
        <v>0.25542010036879398</v>
      </c>
      <c r="C44" s="2">
        <v>2.34901728320859E-2</v>
      </c>
      <c r="D44" s="2">
        <v>-2.6129251033232E-2</v>
      </c>
      <c r="E44" s="2">
        <v>0.243065627055182</v>
      </c>
      <c r="F44" s="2">
        <v>0.34627282918600899</v>
      </c>
      <c r="G44" s="2">
        <v>-8.8251195711470998E-2</v>
      </c>
      <c r="H44" s="2">
        <v>1.5066274429475E-2</v>
      </c>
      <c r="I44" s="2"/>
      <c r="J44" s="2"/>
      <c r="K44" s="4" t="s">
        <v>55</v>
      </c>
      <c r="L44" s="2">
        <f t="shared" si="0"/>
        <v>0.34627282918600899</v>
      </c>
    </row>
    <row r="45" spans="1:12" x14ac:dyDescent="0.25">
      <c r="A45" s="2">
        <v>4.7999716339328001E-2</v>
      </c>
      <c r="B45" s="2">
        <v>0.34703278007197103</v>
      </c>
      <c r="C45" s="2">
        <v>-1.9334128897625799E-2</v>
      </c>
      <c r="D45" s="2">
        <v>-1.7125075605977E-3</v>
      </c>
      <c r="E45" s="2">
        <v>8.8399088670978496E-2</v>
      </c>
      <c r="F45" s="2">
        <v>0.34714266448722703</v>
      </c>
      <c r="G45" s="2">
        <v>-0.10407224704335399</v>
      </c>
      <c r="H45" s="2">
        <v>-7.7505937030197494E-2</v>
      </c>
      <c r="I45" s="2"/>
      <c r="J45" s="2"/>
      <c r="K45" s="4" t="s">
        <v>56</v>
      </c>
      <c r="L45" s="2">
        <f t="shared" si="0"/>
        <v>0.34714266448722703</v>
      </c>
    </row>
    <row r="46" spans="1:12" x14ac:dyDescent="0.25">
      <c r="A46" s="2">
        <v>0.116465385584995</v>
      </c>
      <c r="B46" s="2">
        <v>0.12705916170211301</v>
      </c>
      <c r="C46" s="2">
        <v>-2.8537526344741E-2</v>
      </c>
      <c r="D46" s="2">
        <v>-0.22232057704093</v>
      </c>
      <c r="E46" s="2">
        <v>0.14398158748193601</v>
      </c>
      <c r="F46" s="2">
        <v>0.24654300520218</v>
      </c>
      <c r="G46" s="2">
        <v>0.16265243969999901</v>
      </c>
      <c r="H46" s="2">
        <v>7.3337899003942997E-2</v>
      </c>
      <c r="I46" s="2"/>
      <c r="J46" s="2"/>
      <c r="K46" s="4" t="s">
        <v>57</v>
      </c>
      <c r="L46" s="2">
        <f t="shared" si="0"/>
        <v>0.24654300520218</v>
      </c>
    </row>
    <row r="47" spans="1:12" x14ac:dyDescent="0.25">
      <c r="A47" s="2">
        <v>-1.6970506371203099E-2</v>
      </c>
      <c r="B47" s="2">
        <v>-7.3166910973027598E-3</v>
      </c>
      <c r="C47" s="2">
        <v>0.22418082396734401</v>
      </c>
      <c r="D47" s="2">
        <v>-0.303656947635563</v>
      </c>
      <c r="E47" s="2">
        <v>5.4471239650596401E-2</v>
      </c>
      <c r="F47" s="2">
        <v>0.37331519242856098</v>
      </c>
      <c r="G47" s="2">
        <v>2.4880543130792999E-2</v>
      </c>
      <c r="H47" s="2">
        <v>0.11443644209744699</v>
      </c>
      <c r="I47" s="2"/>
      <c r="J47" s="2"/>
      <c r="K47" s="4" t="s">
        <v>58</v>
      </c>
      <c r="L47" s="2">
        <f t="shared" si="0"/>
        <v>0.37331519242856098</v>
      </c>
    </row>
    <row r="48" spans="1:12" x14ac:dyDescent="0.25">
      <c r="A48" s="2">
        <v>0.128645199586681</v>
      </c>
      <c r="B48" s="2">
        <v>-2.3598374334985999E-2</v>
      </c>
      <c r="C48" s="2">
        <v>-3.3306103542106003E-2</v>
      </c>
      <c r="D48" s="2">
        <v>-0.70701673024948597</v>
      </c>
      <c r="E48" s="2">
        <v>-4.23907582292E-2</v>
      </c>
      <c r="F48" s="2">
        <v>8.3485079901833306E-2</v>
      </c>
      <c r="G48" s="2">
        <v>-1.71611112768588E-2</v>
      </c>
      <c r="H48" s="2">
        <v>4.0621528460612802E-2</v>
      </c>
      <c r="I48" s="2"/>
      <c r="J48" s="2"/>
      <c r="K48" s="4" t="s">
        <v>32</v>
      </c>
      <c r="L48" s="2">
        <f t="shared" si="0"/>
        <v>0.70701673024948597</v>
      </c>
    </row>
    <row r="49" spans="1:12" x14ac:dyDescent="0.25">
      <c r="A49" s="2">
        <v>-2.0981968880608898E-2</v>
      </c>
      <c r="B49" s="2">
        <v>0.28561137675722598</v>
      </c>
      <c r="C49" s="2">
        <v>0.13706475180400299</v>
      </c>
      <c r="D49" s="2">
        <v>3.4743071108395501E-2</v>
      </c>
      <c r="E49" s="2">
        <v>0.141998667017908</v>
      </c>
      <c r="F49" s="2">
        <v>0.31054085498382</v>
      </c>
      <c r="G49" s="2">
        <v>-0.33725200224040103</v>
      </c>
      <c r="H49" s="2">
        <v>-4.4558954288649498E-2</v>
      </c>
      <c r="I49" s="2"/>
      <c r="J49" s="2"/>
      <c r="K49" s="4" t="s">
        <v>59</v>
      </c>
      <c r="L49" s="2">
        <f t="shared" si="0"/>
        <v>0.33725200224040103</v>
      </c>
    </row>
    <row r="50" spans="1:12" x14ac:dyDescent="0.25">
      <c r="A50" s="2">
        <v>1.5610390648145201E-2</v>
      </c>
      <c r="B50" s="2">
        <v>-6.3041703082771197E-2</v>
      </c>
      <c r="C50" s="2">
        <v>0.188059904263566</v>
      </c>
      <c r="D50" s="2">
        <v>-9.2270300511143197E-2</v>
      </c>
      <c r="E50" s="2">
        <v>0.22996582435500201</v>
      </c>
      <c r="F50" s="2">
        <v>0.103146886576748</v>
      </c>
      <c r="G50" s="2">
        <v>-1.7938521866201901E-2</v>
      </c>
      <c r="H50" s="2">
        <v>0.15961433418673501</v>
      </c>
      <c r="I50" s="2"/>
      <c r="J50" s="2"/>
      <c r="K50" s="4" t="s">
        <v>60</v>
      </c>
      <c r="L50" s="2">
        <f t="shared" si="0"/>
        <v>0.22996582435500201</v>
      </c>
    </row>
  </sheetData>
  <conditionalFormatting sqref="L2:L50">
    <cfRule type="cellIs" dxfId="35" priority="3" operator="lessThan">
      <formula>$O$2</formula>
    </cfRule>
  </conditionalFormatting>
  <conditionalFormatting sqref="A2:J50">
    <cfRule type="cellIs" dxfId="33" priority="1" operator="lessThan">
      <formula>$O$4</formula>
    </cfRule>
    <cfRule type="cellIs" dxfId="32" priority="2" operator="greaterThan">
      <formula>$O$3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zoomScale="85" zoomScaleNormal="85" workbookViewId="0">
      <selection activeCell="O2" sqref="O2"/>
    </sheetView>
  </sheetViews>
  <sheetFormatPr defaultRowHeight="15" x14ac:dyDescent="0.25"/>
  <cols>
    <col min="1" max="10" width="7" style="1" customWidth="1"/>
    <col min="11" max="11" width="11.5703125" style="3" customWidth="1"/>
    <col min="12" max="12" width="6" style="1" customWidth="1"/>
    <col min="13" max="14" width="9.140625" style="1"/>
    <col min="15" max="15" width="7.7109375" style="1" bestFit="1" customWidth="1"/>
    <col min="16" max="16" width="5.85546875" style="1" bestFit="1" customWidth="1"/>
    <col min="17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L1" s="1" t="s">
        <v>61</v>
      </c>
    </row>
    <row r="2" spans="1:15" x14ac:dyDescent="0.25">
      <c r="A2" s="2">
        <v>0.114691131941546</v>
      </c>
      <c r="B2" s="2">
        <v>-1.9114270511635799E-2</v>
      </c>
      <c r="C2" s="2">
        <v>-9.76435925819234E-2</v>
      </c>
      <c r="D2" s="2">
        <v>-0.21615674317420799</v>
      </c>
      <c r="E2" s="2">
        <v>6.8368412556722102E-2</v>
      </c>
      <c r="F2" s="2">
        <v>0.42627067514913802</v>
      </c>
      <c r="G2" s="2">
        <v>4.7491880756883299E-2</v>
      </c>
      <c r="H2" s="2"/>
      <c r="I2" s="2"/>
      <c r="J2" s="2"/>
      <c r="K2" s="4" t="s">
        <v>12</v>
      </c>
      <c r="L2" s="2">
        <f>MAX(ABS(A2),ABS(B2),ABS(C2),ABS(D2),ABS(E2),ABS(F2),ABS(G2), ABS(H2), ABS(I2), ABS(J2))</f>
        <v>0.42627067514913802</v>
      </c>
      <c r="N2" s="1" t="s">
        <v>62</v>
      </c>
      <c r="O2" s="1">
        <f>oblimin!O2</f>
        <v>0.25</v>
      </c>
    </row>
    <row r="3" spans="1:15" x14ac:dyDescent="0.25">
      <c r="A3" s="2">
        <v>1.24323850396086E-2</v>
      </c>
      <c r="B3" s="2">
        <v>-4.2186953344131001E-2</v>
      </c>
      <c r="C3" s="2">
        <v>5.6327214560774497E-2</v>
      </c>
      <c r="D3" s="2">
        <v>-9.7842874317101605E-2</v>
      </c>
      <c r="E3" s="2">
        <v>3.9906367812030302E-2</v>
      </c>
      <c r="F3" s="2">
        <v>0.756712098708339</v>
      </c>
      <c r="G3" s="2">
        <v>-3.22233787643985E-2</v>
      </c>
      <c r="H3" s="2"/>
      <c r="I3" s="2"/>
      <c r="J3" s="2"/>
      <c r="K3" s="4" t="s">
        <v>13</v>
      </c>
      <c r="L3" s="2">
        <f t="shared" ref="L3:L50" si="0">MAX(ABS(A3),ABS(B3),ABS(C3),ABS(D3),ABS(E3),ABS(F3),ABS(G3), ABS(H3), ABS(I3), ABS(J3))</f>
        <v>0.756712098708339</v>
      </c>
      <c r="N3" s="1" t="s">
        <v>10</v>
      </c>
      <c r="O3" s="1">
        <f>O2</f>
        <v>0.25</v>
      </c>
    </row>
    <row r="4" spans="1:15" x14ac:dyDescent="0.25">
      <c r="A4" s="2">
        <v>9.3665772052400995E-2</v>
      </c>
      <c r="B4" s="2">
        <v>-2.8407983709995799E-2</v>
      </c>
      <c r="C4" s="2">
        <v>6.2787009171894295E-2</v>
      </c>
      <c r="D4" s="2">
        <v>-0.16716465912402401</v>
      </c>
      <c r="E4" s="2">
        <v>0.13405884023362699</v>
      </c>
      <c r="F4" s="2">
        <v>0.60388608971920998</v>
      </c>
      <c r="G4" s="2">
        <v>-9.5842082019509098E-2</v>
      </c>
      <c r="H4" s="2"/>
      <c r="I4" s="2"/>
      <c r="J4" s="2"/>
      <c r="K4" s="4" t="s">
        <v>17</v>
      </c>
      <c r="L4" s="2">
        <f t="shared" si="0"/>
        <v>0.60388608971920998</v>
      </c>
      <c r="N4" s="1" t="s">
        <v>11</v>
      </c>
      <c r="O4" s="1">
        <f>O3*-1</f>
        <v>-0.25</v>
      </c>
    </row>
    <row r="5" spans="1:15" x14ac:dyDescent="0.25">
      <c r="A5" s="2">
        <v>7.4668531979312003E-2</v>
      </c>
      <c r="B5" s="2">
        <v>-0.12855485641856601</v>
      </c>
      <c r="C5" s="2">
        <v>4.7556777601265601E-2</v>
      </c>
      <c r="D5" s="2">
        <v>-6.2919898024089205E-2</v>
      </c>
      <c r="E5" s="2">
        <v>7.5454284793227994E-2</v>
      </c>
      <c r="F5" s="2">
        <v>0.742038612403358</v>
      </c>
      <c r="G5" s="2">
        <v>-5.9719795424570503E-2</v>
      </c>
      <c r="H5" s="2"/>
      <c r="I5" s="2"/>
      <c r="J5" s="2"/>
      <c r="K5" s="4" t="s">
        <v>18</v>
      </c>
      <c r="L5" s="2">
        <f t="shared" si="0"/>
        <v>0.742038612403358</v>
      </c>
    </row>
    <row r="6" spans="1:15" x14ac:dyDescent="0.25">
      <c r="A6" s="2">
        <v>0.19817635173293199</v>
      </c>
      <c r="B6" s="2">
        <v>0.17437613777521799</v>
      </c>
      <c r="C6" s="2">
        <v>5.5743612075221202E-2</v>
      </c>
      <c r="D6" s="2">
        <v>-0.17340823101682001</v>
      </c>
      <c r="E6" s="2">
        <v>9.7507167284803006E-2</v>
      </c>
      <c r="F6" s="2">
        <v>0.24848355657294599</v>
      </c>
      <c r="G6" s="2">
        <v>-3.8058050307330997E-2</v>
      </c>
      <c r="H6" s="2"/>
      <c r="I6" s="2"/>
      <c r="J6" s="2"/>
      <c r="K6" s="4" t="s">
        <v>19</v>
      </c>
      <c r="L6" s="2">
        <f t="shared" si="0"/>
        <v>0.24848355657294599</v>
      </c>
    </row>
    <row r="7" spans="1:15" x14ac:dyDescent="0.25">
      <c r="A7" s="2">
        <v>-9.9240288776264396E-2</v>
      </c>
      <c r="B7" s="2">
        <v>0.106962638342113</v>
      </c>
      <c r="C7" s="2">
        <v>-4.8164504734253396E-3</v>
      </c>
      <c r="D7" s="2">
        <v>4.0501201910044402E-2</v>
      </c>
      <c r="E7" s="2">
        <v>-5.3175806557927497E-3</v>
      </c>
      <c r="F7" s="2">
        <v>0.63033713561714499</v>
      </c>
      <c r="G7" s="2">
        <v>0.12588846778509899</v>
      </c>
      <c r="H7" s="2"/>
      <c r="I7" s="2"/>
      <c r="J7" s="2"/>
      <c r="K7" s="4" t="s">
        <v>22</v>
      </c>
      <c r="L7" s="2">
        <f t="shared" si="0"/>
        <v>0.63033713561714499</v>
      </c>
    </row>
    <row r="8" spans="1:15" x14ac:dyDescent="0.25">
      <c r="A8" s="2">
        <v>0.94733409323041495</v>
      </c>
      <c r="B8" s="2">
        <v>5.0332375661406303E-2</v>
      </c>
      <c r="C8" s="2">
        <v>1.4743177993723501E-2</v>
      </c>
      <c r="D8" s="2">
        <v>4.9962625415046003E-3</v>
      </c>
      <c r="E8" s="2">
        <v>2.2357321300006901E-2</v>
      </c>
      <c r="F8" s="2">
        <v>-7.9876716507270608E-3</v>
      </c>
      <c r="G8" s="2">
        <v>-5.4161417806466897E-2</v>
      </c>
      <c r="H8" s="2"/>
      <c r="I8" s="2"/>
      <c r="J8" s="2"/>
      <c r="K8" s="4" t="s">
        <v>34</v>
      </c>
      <c r="L8" s="2">
        <f t="shared" si="0"/>
        <v>0.94733409323041495</v>
      </c>
    </row>
    <row r="9" spans="1:15" x14ac:dyDescent="0.25">
      <c r="A9" s="2">
        <v>0.84029353678952201</v>
      </c>
      <c r="B9" s="2">
        <v>-4.2356860132082098E-2</v>
      </c>
      <c r="C9" s="2">
        <v>2.2687955737125901E-2</v>
      </c>
      <c r="D9" s="2">
        <v>-3.57533568790942E-2</v>
      </c>
      <c r="E9" s="2">
        <v>1.8266495790964801E-2</v>
      </c>
      <c r="F9" s="2">
        <v>3.0880888662563499E-2</v>
      </c>
      <c r="G9" s="2">
        <v>5.9745544152625799E-2</v>
      </c>
      <c r="H9" s="2"/>
      <c r="I9" s="2"/>
      <c r="J9" s="2"/>
      <c r="K9" s="4" t="s">
        <v>37</v>
      </c>
      <c r="L9" s="2">
        <f t="shared" si="0"/>
        <v>0.84029353678952201</v>
      </c>
    </row>
    <row r="10" spans="1:15" x14ac:dyDescent="0.25">
      <c r="A10" s="2">
        <v>7.9897331528795801E-2</v>
      </c>
      <c r="B10" s="2">
        <v>0.45924175027700498</v>
      </c>
      <c r="C10" s="2">
        <v>6.3962530975721202E-2</v>
      </c>
      <c r="D10" s="2">
        <v>8.0469173839400596E-2</v>
      </c>
      <c r="E10" s="2">
        <v>5.4476222026895199E-2</v>
      </c>
      <c r="F10" s="2">
        <v>0.12942602873497699</v>
      </c>
      <c r="G10" s="2">
        <v>0.18070404461265299</v>
      </c>
      <c r="H10" s="2"/>
      <c r="I10" s="2"/>
      <c r="J10" s="2"/>
      <c r="K10" s="4" t="s">
        <v>14</v>
      </c>
      <c r="L10" s="2">
        <f t="shared" si="0"/>
        <v>0.45924175027700498</v>
      </c>
    </row>
    <row r="11" spans="1:15" x14ac:dyDescent="0.25">
      <c r="A11" s="2">
        <v>0.968684702080294</v>
      </c>
      <c r="B11" s="2">
        <v>3.9502840478162098E-2</v>
      </c>
      <c r="C11" s="2">
        <v>2.1425776119825398E-3</v>
      </c>
      <c r="D11" s="2">
        <v>-2.1040139180315601E-3</v>
      </c>
      <c r="E11" s="2">
        <v>3.0658955920203498E-2</v>
      </c>
      <c r="F11" s="2">
        <v>-2.27657270326042E-2</v>
      </c>
      <c r="G11" s="2">
        <v>-2.2134486403842999E-2</v>
      </c>
      <c r="H11" s="2"/>
      <c r="I11" s="2"/>
      <c r="J11" s="2"/>
      <c r="K11" s="4" t="s">
        <v>15</v>
      </c>
      <c r="L11" s="2">
        <f t="shared" si="0"/>
        <v>0.968684702080294</v>
      </c>
    </row>
    <row r="12" spans="1:15" x14ac:dyDescent="0.25">
      <c r="A12" s="2">
        <v>0.87626085183727798</v>
      </c>
      <c r="B12" s="2">
        <v>-2.4585381706810301E-2</v>
      </c>
      <c r="C12" s="2">
        <v>2.7126784810140501E-2</v>
      </c>
      <c r="D12" s="2">
        <v>-1.7838071982723299E-2</v>
      </c>
      <c r="E12" s="2">
        <v>1.8924333305915302E-2</v>
      </c>
      <c r="F12" s="2">
        <v>2.2875405195029501E-2</v>
      </c>
      <c r="G12" s="2">
        <v>2.1634190816672599E-2</v>
      </c>
      <c r="H12" s="2"/>
      <c r="I12" s="2"/>
      <c r="J12" s="2"/>
      <c r="K12" s="4" t="s">
        <v>24</v>
      </c>
      <c r="L12" s="2">
        <f t="shared" si="0"/>
        <v>0.87626085183727798</v>
      </c>
    </row>
    <row r="13" spans="1:15" x14ac:dyDescent="0.25">
      <c r="A13" s="2">
        <v>0.106171962435738</v>
      </c>
      <c r="B13" s="2">
        <v>6.7109573498797204E-2</v>
      </c>
      <c r="C13" s="2">
        <v>4.5008714740202502E-2</v>
      </c>
      <c r="D13" s="2">
        <v>-4.9476717048929303E-3</v>
      </c>
      <c r="E13" s="2">
        <v>0.79715316818003101</v>
      </c>
      <c r="F13" s="2">
        <v>0.100103618278026</v>
      </c>
      <c r="G13" s="2">
        <v>1.3255789028503899E-2</v>
      </c>
      <c r="H13" s="2"/>
      <c r="I13" s="2"/>
      <c r="J13" s="2"/>
      <c r="K13" s="4" t="s">
        <v>38</v>
      </c>
      <c r="L13" s="2">
        <f t="shared" si="0"/>
        <v>0.79715316818003101</v>
      </c>
    </row>
    <row r="14" spans="1:15" x14ac:dyDescent="0.25">
      <c r="A14" s="2">
        <v>8.0998136347997504E-2</v>
      </c>
      <c r="B14" s="2">
        <v>1.9052558589658399E-2</v>
      </c>
      <c r="C14" s="2">
        <v>3.83324754682762E-2</v>
      </c>
      <c r="D14" s="2">
        <v>-4.3941238223394098E-4</v>
      </c>
      <c r="E14" s="2">
        <v>0.80047420043115203</v>
      </c>
      <c r="F14" s="2">
        <v>5.1664830993863001E-2</v>
      </c>
      <c r="G14" s="2">
        <v>1.98991152737155E-2</v>
      </c>
      <c r="H14" s="2"/>
      <c r="I14" s="2"/>
      <c r="J14" s="2"/>
      <c r="K14" s="4" t="s">
        <v>28</v>
      </c>
      <c r="L14" s="2">
        <f t="shared" si="0"/>
        <v>0.80047420043115203</v>
      </c>
    </row>
    <row r="15" spans="1:15" x14ac:dyDescent="0.25">
      <c r="A15" s="2">
        <v>-0.11085206132344</v>
      </c>
      <c r="B15" s="2">
        <v>0.44417095478413299</v>
      </c>
      <c r="C15" s="2">
        <v>0.111869087319205</v>
      </c>
      <c r="D15" s="2">
        <v>-1.17609796668438E-2</v>
      </c>
      <c r="E15" s="2">
        <v>-0.26351307161010001</v>
      </c>
      <c r="F15" s="2">
        <v>0.19723246251381299</v>
      </c>
      <c r="G15" s="2">
        <v>0.22421769687037599</v>
      </c>
      <c r="H15" s="2"/>
      <c r="I15" s="2"/>
      <c r="J15" s="2"/>
      <c r="K15" s="4" t="s">
        <v>39</v>
      </c>
      <c r="L15" s="2">
        <f t="shared" si="0"/>
        <v>0.44417095478413299</v>
      </c>
    </row>
    <row r="16" spans="1:15" x14ac:dyDescent="0.25">
      <c r="A16" s="2">
        <v>1.4313197006679299E-2</v>
      </c>
      <c r="B16" s="2">
        <v>0.43562137402207901</v>
      </c>
      <c r="C16" s="2">
        <v>9.4178833282169194E-2</v>
      </c>
      <c r="D16" s="2">
        <v>3.4479381246028402E-2</v>
      </c>
      <c r="E16" s="2">
        <v>-0.31639302208403203</v>
      </c>
      <c r="F16" s="2">
        <v>0.177699295468948</v>
      </c>
      <c r="G16" s="2">
        <v>0.106911476202338</v>
      </c>
      <c r="H16" s="2"/>
      <c r="I16" s="2"/>
      <c r="J16" s="2"/>
      <c r="K16" s="4" t="s">
        <v>26</v>
      </c>
      <c r="L16" s="2">
        <f t="shared" si="0"/>
        <v>0.43562137402207901</v>
      </c>
    </row>
    <row r="17" spans="1:12" x14ac:dyDescent="0.25">
      <c r="A17" s="2">
        <v>0.155761631574409</v>
      </c>
      <c r="B17" s="2">
        <v>1.0540519709873899E-2</v>
      </c>
      <c r="C17" s="2">
        <v>8.1892874207595001E-2</v>
      </c>
      <c r="D17" s="2">
        <v>-2.5651535218855102E-4</v>
      </c>
      <c r="E17" s="2">
        <v>0.29974444776586101</v>
      </c>
      <c r="F17" s="2">
        <v>0.18522995856989899</v>
      </c>
      <c r="G17" s="2">
        <v>-9.65792598219921E-2</v>
      </c>
      <c r="H17" s="2"/>
      <c r="I17" s="2"/>
      <c r="J17" s="2"/>
      <c r="K17" s="4" t="s">
        <v>35</v>
      </c>
      <c r="L17" s="2">
        <f t="shared" si="0"/>
        <v>0.29974444776586101</v>
      </c>
    </row>
    <row r="18" spans="1:12" x14ac:dyDescent="0.25">
      <c r="A18" s="2">
        <v>-3.40371230155989E-2</v>
      </c>
      <c r="B18" s="2">
        <v>0.76262186793813702</v>
      </c>
      <c r="C18" s="2">
        <v>7.3903005748985798E-2</v>
      </c>
      <c r="D18" s="2">
        <v>-5.4926533051233198E-2</v>
      </c>
      <c r="E18" s="2">
        <v>0.15409828928750699</v>
      </c>
      <c r="F18" s="2">
        <v>-5.37163914512905E-2</v>
      </c>
      <c r="G18" s="2">
        <v>-2.2177360026422701E-2</v>
      </c>
      <c r="H18" s="2"/>
      <c r="I18" s="2"/>
      <c r="J18" s="2"/>
      <c r="K18" s="4" t="s">
        <v>40</v>
      </c>
      <c r="L18" s="2">
        <f t="shared" si="0"/>
        <v>0.76262186793813702</v>
      </c>
    </row>
    <row r="19" spans="1:12" x14ac:dyDescent="0.25">
      <c r="A19" s="2">
        <v>-4.5089622312411898E-2</v>
      </c>
      <c r="B19" s="2">
        <v>-0.164105748447124</v>
      </c>
      <c r="C19" s="2">
        <v>6.6359261875096401E-2</v>
      </c>
      <c r="D19" s="2">
        <v>-6.0317604803798601E-2</v>
      </c>
      <c r="E19" s="2">
        <v>0.290957488892928</v>
      </c>
      <c r="F19" s="2">
        <v>0.108747969047263</v>
      </c>
      <c r="G19" s="2">
        <v>0.20824561033410399</v>
      </c>
      <c r="H19" s="2"/>
      <c r="I19" s="2"/>
      <c r="J19" s="2"/>
      <c r="K19" s="4" t="s">
        <v>33</v>
      </c>
      <c r="L19" s="2">
        <f t="shared" si="0"/>
        <v>0.290957488892928</v>
      </c>
    </row>
    <row r="20" spans="1:12" x14ac:dyDescent="0.25">
      <c r="A20" s="2">
        <v>-9.4394202228737095E-3</v>
      </c>
      <c r="B20" s="2">
        <v>0.87325305000176101</v>
      </c>
      <c r="C20" s="2">
        <v>2.1384447767568301E-2</v>
      </c>
      <c r="D20" s="2">
        <v>-3.9168566035927201E-2</v>
      </c>
      <c r="E20" s="2">
        <v>2.15161752217353E-4</v>
      </c>
      <c r="F20" s="2">
        <v>-0.109891523309016</v>
      </c>
      <c r="G20" s="2">
        <v>-9.9951689060712196E-2</v>
      </c>
      <c r="H20" s="2"/>
      <c r="I20" s="2"/>
      <c r="J20" s="2"/>
      <c r="K20" s="4" t="s">
        <v>27</v>
      </c>
      <c r="L20" s="2">
        <f t="shared" si="0"/>
        <v>0.87325305000176101</v>
      </c>
    </row>
    <row r="21" spans="1:12" x14ac:dyDescent="0.25">
      <c r="A21" s="2">
        <v>0.43955043261064197</v>
      </c>
      <c r="B21" s="2">
        <v>-0.21241753877706299</v>
      </c>
      <c r="C21" s="2">
        <v>3.5051783392666097E-2</v>
      </c>
      <c r="D21" s="2">
        <v>2.7105559360151701E-2</v>
      </c>
      <c r="E21" s="2">
        <v>0.119239857125648</v>
      </c>
      <c r="F21" s="2">
        <v>0.112031618416535</v>
      </c>
      <c r="G21" s="2">
        <v>0.22103061301496099</v>
      </c>
      <c r="H21" s="2"/>
      <c r="I21" s="2"/>
      <c r="J21" s="2"/>
      <c r="K21" s="4" t="s">
        <v>41</v>
      </c>
      <c r="L21" s="2">
        <f t="shared" si="0"/>
        <v>0.43955043261064197</v>
      </c>
    </row>
    <row r="22" spans="1:12" x14ac:dyDescent="0.25">
      <c r="A22" s="2">
        <v>9.4327900379684596E-2</v>
      </c>
      <c r="B22" s="2">
        <v>0.782145907514189</v>
      </c>
      <c r="C22" s="2">
        <v>-2.0153664484548601E-2</v>
      </c>
      <c r="D22" s="2">
        <v>5.7035952092149801E-3</v>
      </c>
      <c r="E22" s="2">
        <v>-4.81709872535429E-2</v>
      </c>
      <c r="F22" s="2">
        <v>1.9627650634383501E-2</v>
      </c>
      <c r="G22" s="2">
        <v>3.6738300657258899E-3</v>
      </c>
      <c r="H22" s="2"/>
      <c r="I22" s="2"/>
      <c r="J22" s="2"/>
      <c r="K22" s="4" t="s">
        <v>42</v>
      </c>
      <c r="L22" s="2">
        <f t="shared" si="0"/>
        <v>0.782145907514189</v>
      </c>
    </row>
    <row r="23" spans="1:12" x14ac:dyDescent="0.25">
      <c r="A23" s="2">
        <v>2.1195195720597301E-2</v>
      </c>
      <c r="B23" s="2">
        <v>-1.67894883787164E-2</v>
      </c>
      <c r="C23" s="2">
        <v>0.73505037141445995</v>
      </c>
      <c r="D23" s="2">
        <v>-8.9703157479807005E-2</v>
      </c>
      <c r="E23" s="2">
        <v>0.122628862307568</v>
      </c>
      <c r="F23" s="2">
        <v>-6.3372648243348997E-2</v>
      </c>
      <c r="G23" s="2">
        <v>0.20546459848732401</v>
      </c>
      <c r="H23" s="2"/>
      <c r="I23" s="2"/>
      <c r="J23" s="2"/>
      <c r="K23" s="4" t="s">
        <v>43</v>
      </c>
      <c r="L23" s="2">
        <f t="shared" si="0"/>
        <v>0.73505037141445995</v>
      </c>
    </row>
    <row r="24" spans="1:12" x14ac:dyDescent="0.25">
      <c r="A24" s="2">
        <v>6.1699316213463203E-2</v>
      </c>
      <c r="B24" s="2">
        <v>2.0050357293692599E-2</v>
      </c>
      <c r="C24" s="2">
        <v>0.97924924794702795</v>
      </c>
      <c r="D24" s="2">
        <v>2.6573526495918098E-2</v>
      </c>
      <c r="E24" s="2">
        <v>-4.3744669088365599E-2</v>
      </c>
      <c r="F24" s="2">
        <v>5.1349330731698201E-2</v>
      </c>
      <c r="G24" s="2">
        <v>-0.123082856524048</v>
      </c>
      <c r="H24" s="2"/>
      <c r="I24" s="2"/>
      <c r="J24" s="2"/>
      <c r="K24" s="4" t="s">
        <v>44</v>
      </c>
      <c r="L24" s="2">
        <f t="shared" si="0"/>
        <v>0.97924924794702795</v>
      </c>
    </row>
    <row r="25" spans="1:12" x14ac:dyDescent="0.25">
      <c r="A25" s="2">
        <v>4.0995983111494702E-3</v>
      </c>
      <c r="B25" s="2">
        <v>-1.6768677737918999E-2</v>
      </c>
      <c r="C25" s="2">
        <v>0.71217974142075702</v>
      </c>
      <c r="D25" s="2">
        <v>-0.141537262350659</v>
      </c>
      <c r="E25" s="2">
        <v>0.11490256820904</v>
      </c>
      <c r="F25" s="2">
        <v>-7.3308182810772199E-2</v>
      </c>
      <c r="G25" s="2">
        <v>0.18838568685690299</v>
      </c>
      <c r="H25" s="2"/>
      <c r="I25" s="2"/>
      <c r="J25" s="2"/>
      <c r="K25" s="4" t="s">
        <v>45</v>
      </c>
      <c r="L25" s="2">
        <f t="shared" si="0"/>
        <v>0.71217974142075702</v>
      </c>
    </row>
    <row r="26" spans="1:12" x14ac:dyDescent="0.25">
      <c r="A26" s="2">
        <v>-5.9419537145637302E-2</v>
      </c>
      <c r="B26" s="2">
        <v>-1.3055893015436301E-2</v>
      </c>
      <c r="C26" s="2">
        <v>0.48853105043134198</v>
      </c>
      <c r="D26" s="2">
        <v>-0.100908059878319</v>
      </c>
      <c r="E26" s="2">
        <v>0.11262863203882401</v>
      </c>
      <c r="F26" s="2">
        <v>2.3949907418231699E-2</v>
      </c>
      <c r="G26" s="2">
        <v>7.7146910964516799E-2</v>
      </c>
      <c r="H26" s="2"/>
      <c r="I26" s="2"/>
      <c r="J26" s="2"/>
      <c r="K26" s="4" t="s">
        <v>30</v>
      </c>
      <c r="L26" s="2">
        <f t="shared" si="0"/>
        <v>0.48853105043134198</v>
      </c>
    </row>
    <row r="27" spans="1:12" x14ac:dyDescent="0.25">
      <c r="A27" s="2">
        <v>5.2525724886101501E-2</v>
      </c>
      <c r="B27" s="2">
        <v>-2.7364893038153398E-2</v>
      </c>
      <c r="C27" s="2">
        <v>0.95821658900084805</v>
      </c>
      <c r="D27" s="2">
        <v>7.1812584324826801E-3</v>
      </c>
      <c r="E27" s="2">
        <v>-1.95152559788156E-2</v>
      </c>
      <c r="F27" s="2">
        <v>5.39663630594822E-2</v>
      </c>
      <c r="G27" s="2">
        <v>-0.102504797504768</v>
      </c>
      <c r="H27" s="2"/>
      <c r="I27" s="2"/>
      <c r="J27" s="2"/>
      <c r="K27" s="4" t="s">
        <v>31</v>
      </c>
      <c r="L27" s="2">
        <f t="shared" si="0"/>
        <v>0.95821658900084805</v>
      </c>
    </row>
    <row r="28" spans="1:12" x14ac:dyDescent="0.25">
      <c r="A28" s="2">
        <v>-0.122024073739051</v>
      </c>
      <c r="B28" s="2">
        <v>0.21763898290584699</v>
      </c>
      <c r="C28" s="2">
        <v>0.59866211407493497</v>
      </c>
      <c r="D28" s="2">
        <v>-1.9312854660328501E-2</v>
      </c>
      <c r="E28" s="2">
        <v>6.9481764751632299E-2</v>
      </c>
      <c r="F28" s="2">
        <v>-9.4314561456952592E-3</v>
      </c>
      <c r="G28" s="2">
        <v>0.31884709628144797</v>
      </c>
      <c r="H28" s="2"/>
      <c r="I28" s="2"/>
      <c r="J28" s="2"/>
      <c r="K28" s="4" t="s">
        <v>21</v>
      </c>
      <c r="L28" s="2">
        <f t="shared" si="0"/>
        <v>0.59866211407493497</v>
      </c>
    </row>
    <row r="29" spans="1:12" x14ac:dyDescent="0.25">
      <c r="A29" s="2">
        <v>3.2935449514075198E-2</v>
      </c>
      <c r="B29" s="2">
        <v>2.7594817085080998E-2</v>
      </c>
      <c r="C29" s="2">
        <v>0.28527721002906198</v>
      </c>
      <c r="D29" s="2">
        <v>-0.113530983329388</v>
      </c>
      <c r="E29" s="2">
        <v>0.109782839690796</v>
      </c>
      <c r="F29" s="2">
        <v>0.198840636385543</v>
      </c>
      <c r="G29" s="2">
        <v>8.8851388841032705E-2</v>
      </c>
      <c r="H29" s="2"/>
      <c r="I29" s="2"/>
      <c r="J29" s="2"/>
      <c r="K29" s="4" t="s">
        <v>46</v>
      </c>
      <c r="L29" s="2">
        <f t="shared" si="0"/>
        <v>0.28527721002906198</v>
      </c>
    </row>
    <row r="30" spans="1:12" x14ac:dyDescent="0.25">
      <c r="A30" s="2">
        <v>-0.17328572779972101</v>
      </c>
      <c r="B30" s="2">
        <v>0.33964541706323698</v>
      </c>
      <c r="C30" s="2">
        <v>0.19725183625001</v>
      </c>
      <c r="D30" s="2">
        <v>5.4902694487352202E-2</v>
      </c>
      <c r="E30" s="2">
        <v>-4.5458572437930202E-2</v>
      </c>
      <c r="F30" s="2">
        <v>0.24274859712556399</v>
      </c>
      <c r="G30" s="2">
        <v>0.25192539926611501</v>
      </c>
      <c r="H30" s="2"/>
      <c r="I30" s="2"/>
      <c r="J30" s="2"/>
      <c r="K30" s="4" t="s">
        <v>25</v>
      </c>
      <c r="L30" s="2">
        <f t="shared" si="0"/>
        <v>0.33964541706323698</v>
      </c>
    </row>
    <row r="31" spans="1:12" x14ac:dyDescent="0.25">
      <c r="A31" s="2">
        <v>-3.5977596769424899E-2</v>
      </c>
      <c r="B31" s="2">
        <v>9.8080154952221693E-2</v>
      </c>
      <c r="C31" s="2">
        <v>0.44534629265886999</v>
      </c>
      <c r="D31" s="2">
        <v>-5.7586140647981197E-2</v>
      </c>
      <c r="E31" s="2">
        <v>0.119263406529869</v>
      </c>
      <c r="F31" s="2">
        <v>0.181929731376475</v>
      </c>
      <c r="G31" s="2">
        <v>-3.1597142446696397E-2</v>
      </c>
      <c r="H31" s="2"/>
      <c r="I31" s="2"/>
      <c r="J31" s="2"/>
      <c r="K31" s="4" t="s">
        <v>47</v>
      </c>
      <c r="L31" s="2">
        <f t="shared" si="0"/>
        <v>0.44534629265886999</v>
      </c>
    </row>
    <row r="32" spans="1:12" x14ac:dyDescent="0.25">
      <c r="A32" s="2">
        <v>0.33196793950442299</v>
      </c>
      <c r="B32" s="2">
        <v>-9.6980312723141601E-2</v>
      </c>
      <c r="C32" s="2">
        <v>0.101594844642052</v>
      </c>
      <c r="D32" s="2">
        <v>-0.25869939734974801</v>
      </c>
      <c r="E32" s="2">
        <v>1.4860861118695799E-2</v>
      </c>
      <c r="F32" s="2">
        <v>2.07566991897171E-2</v>
      </c>
      <c r="G32" s="2">
        <v>0.39051469184446702</v>
      </c>
      <c r="H32" s="2"/>
      <c r="I32" s="2"/>
      <c r="J32" s="2"/>
      <c r="K32" s="4" t="s">
        <v>16</v>
      </c>
      <c r="L32" s="2">
        <f t="shared" si="0"/>
        <v>0.39051469184446702</v>
      </c>
    </row>
    <row r="33" spans="1:12" x14ac:dyDescent="0.25">
      <c r="A33" s="2">
        <v>0.175062489749855</v>
      </c>
      <c r="B33" s="2">
        <v>-3.6613632674511398E-2</v>
      </c>
      <c r="C33" s="2">
        <v>0.21121714795403301</v>
      </c>
      <c r="D33" s="2">
        <v>-0.17656859402717601</v>
      </c>
      <c r="E33" s="2">
        <v>5.5901752334425701E-2</v>
      </c>
      <c r="F33" s="2">
        <v>0.14055024601133601</v>
      </c>
      <c r="G33" s="2">
        <v>0.42173118719145603</v>
      </c>
      <c r="H33" s="2"/>
      <c r="I33" s="2"/>
      <c r="J33" s="2"/>
      <c r="K33" s="4" t="s">
        <v>23</v>
      </c>
      <c r="L33" s="2">
        <f t="shared" si="0"/>
        <v>0.42173118719145603</v>
      </c>
    </row>
    <row r="34" spans="1:12" x14ac:dyDescent="0.25">
      <c r="A34" s="2">
        <v>0.108728234397985</v>
      </c>
      <c r="B34" s="2">
        <v>-4.8745229402056403E-2</v>
      </c>
      <c r="C34" s="2">
        <v>-1.78606445374902E-2</v>
      </c>
      <c r="D34" s="2">
        <v>-0.34985957972741399</v>
      </c>
      <c r="E34" s="2">
        <v>0.17644277974088499</v>
      </c>
      <c r="F34" s="2">
        <v>-9.0480074042266299E-3</v>
      </c>
      <c r="G34" s="2">
        <v>0.36815179610353299</v>
      </c>
      <c r="H34" s="2"/>
      <c r="I34" s="2"/>
      <c r="J34" s="2"/>
      <c r="K34" s="4" t="s">
        <v>48</v>
      </c>
      <c r="L34" s="2">
        <f t="shared" si="0"/>
        <v>0.36815179610353299</v>
      </c>
    </row>
    <row r="35" spans="1:12" x14ac:dyDescent="0.25">
      <c r="A35" s="2">
        <v>-9.79379799973365E-2</v>
      </c>
      <c r="B35" s="2">
        <v>0.45668020820892602</v>
      </c>
      <c r="C35" s="2">
        <v>-0.13473119312992499</v>
      </c>
      <c r="D35" s="2">
        <v>-0.15170655682386899</v>
      </c>
      <c r="E35" s="2">
        <v>0.121442545040628</v>
      </c>
      <c r="F35" s="2">
        <v>3.3718756169646501E-2</v>
      </c>
      <c r="G35" s="2">
        <v>0.17821513640533901</v>
      </c>
      <c r="H35" s="2"/>
      <c r="I35" s="2"/>
      <c r="J35" s="2"/>
      <c r="K35" s="4" t="s">
        <v>49</v>
      </c>
      <c r="L35" s="2">
        <f t="shared" si="0"/>
        <v>0.45668020820892602</v>
      </c>
    </row>
    <row r="36" spans="1:12" x14ac:dyDescent="0.25">
      <c r="A36" s="2">
        <v>0.14016914614318901</v>
      </c>
      <c r="B36" s="2">
        <v>-3.0508486168951399E-2</v>
      </c>
      <c r="C36" s="2">
        <v>2.4381037543654002E-2</v>
      </c>
      <c r="D36" s="2">
        <v>-0.70919433496714601</v>
      </c>
      <c r="E36" s="2">
        <v>2.8332816094564402E-2</v>
      </c>
      <c r="F36" s="2">
        <v>2.2033524347627099E-2</v>
      </c>
      <c r="G36" s="2">
        <v>0.14066458251604699</v>
      </c>
      <c r="H36" s="2"/>
      <c r="I36" s="2"/>
      <c r="J36" s="2"/>
      <c r="K36" s="4" t="s">
        <v>36</v>
      </c>
      <c r="L36" s="2">
        <f t="shared" si="0"/>
        <v>0.70919433496714601</v>
      </c>
    </row>
    <row r="37" spans="1:12" x14ac:dyDescent="0.25">
      <c r="A37" s="2">
        <v>0.106788368657089</v>
      </c>
      <c r="B37" s="2">
        <v>8.3415674571070797E-2</v>
      </c>
      <c r="C37" s="2">
        <v>-7.35984438364473E-2</v>
      </c>
      <c r="D37" s="2">
        <v>-0.57724965987847499</v>
      </c>
      <c r="E37" s="2">
        <v>0.13226930188236399</v>
      </c>
      <c r="F37" s="2">
        <v>7.2353258432459502E-2</v>
      </c>
      <c r="G37" s="2">
        <v>-3.0128694875409201E-2</v>
      </c>
      <c r="H37" s="2"/>
      <c r="I37" s="2"/>
      <c r="J37" s="2"/>
      <c r="K37" s="4" t="s">
        <v>50</v>
      </c>
      <c r="L37" s="2">
        <f t="shared" si="0"/>
        <v>0.57724965987847499</v>
      </c>
    </row>
    <row r="38" spans="1:12" x14ac:dyDescent="0.25">
      <c r="A38" s="2">
        <v>2.97091698924625E-2</v>
      </c>
      <c r="B38" s="2">
        <v>4.6936911448869703E-2</v>
      </c>
      <c r="C38" s="2">
        <v>-5.4417551579185E-2</v>
      </c>
      <c r="D38" s="2">
        <v>-0.84845491505661397</v>
      </c>
      <c r="E38" s="2">
        <v>4.52204309662965E-2</v>
      </c>
      <c r="F38" s="2">
        <v>8.6099909221175303E-2</v>
      </c>
      <c r="G38" s="2">
        <v>-6.2170225215388897E-2</v>
      </c>
      <c r="H38" s="2"/>
      <c r="I38" s="2"/>
      <c r="J38" s="2"/>
      <c r="K38" s="4" t="s">
        <v>51</v>
      </c>
      <c r="L38" s="2">
        <f t="shared" si="0"/>
        <v>0.84845491505661397</v>
      </c>
    </row>
    <row r="39" spans="1:12" x14ac:dyDescent="0.25">
      <c r="A39" s="2">
        <v>-3.9099059652350603E-2</v>
      </c>
      <c r="B39" s="2">
        <v>-5.4214325336123602E-2</v>
      </c>
      <c r="C39" s="2">
        <v>8.4854569861335896E-2</v>
      </c>
      <c r="D39" s="2">
        <v>-0.89021945012418202</v>
      </c>
      <c r="E39" s="2">
        <v>-7.2977422445849996E-2</v>
      </c>
      <c r="F39" s="2">
        <v>-8.4287188607535396E-3</v>
      </c>
      <c r="G39" s="2">
        <v>2.0470626055353902E-3</v>
      </c>
      <c r="H39" s="2"/>
      <c r="I39" s="2"/>
      <c r="J39" s="2"/>
      <c r="K39" s="4" t="s">
        <v>20</v>
      </c>
      <c r="L39" s="2">
        <f t="shared" si="0"/>
        <v>0.89021945012418202</v>
      </c>
    </row>
    <row r="40" spans="1:12" x14ac:dyDescent="0.25">
      <c r="A40" s="2">
        <v>-5.4505479513450202E-3</v>
      </c>
      <c r="B40" s="2">
        <v>5.8768874203475298E-2</v>
      </c>
      <c r="C40" s="2">
        <v>-1.7064660143418699E-2</v>
      </c>
      <c r="D40" s="2">
        <v>-0.92688513095834102</v>
      </c>
      <c r="E40" s="2">
        <v>-4.2265246804901402E-4</v>
      </c>
      <c r="F40" s="2">
        <v>4.2132380539990903E-2</v>
      </c>
      <c r="G40" s="2">
        <v>-8.3327126168959001E-2</v>
      </c>
      <c r="H40" s="2"/>
      <c r="I40" s="2"/>
      <c r="J40" s="2"/>
      <c r="K40" s="4" t="s">
        <v>52</v>
      </c>
      <c r="L40" s="2">
        <f t="shared" si="0"/>
        <v>0.92688513095834102</v>
      </c>
    </row>
    <row r="41" spans="1:12" x14ac:dyDescent="0.25">
      <c r="A41" s="2">
        <v>0.20118344615321801</v>
      </c>
      <c r="B41" s="2">
        <v>0.17386350699796399</v>
      </c>
      <c r="C41" s="2">
        <v>-1.8982076972079001E-2</v>
      </c>
      <c r="D41" s="2">
        <v>-6.5699775227334403E-2</v>
      </c>
      <c r="E41" s="2">
        <v>-5.6283405291459997E-2</v>
      </c>
      <c r="F41" s="2">
        <v>7.9734177382574795E-2</v>
      </c>
      <c r="G41" s="2">
        <v>0.45058433309004903</v>
      </c>
      <c r="H41" s="2"/>
      <c r="I41" s="2"/>
      <c r="J41" s="2"/>
      <c r="K41" s="4" t="s">
        <v>53</v>
      </c>
      <c r="L41" s="2">
        <f t="shared" si="0"/>
        <v>0.45058433309004903</v>
      </c>
    </row>
    <row r="42" spans="1:12" x14ac:dyDescent="0.25">
      <c r="A42" s="2">
        <v>5.4590416326871803E-2</v>
      </c>
      <c r="B42" s="2">
        <v>0.228256987692491</v>
      </c>
      <c r="C42" s="2">
        <v>0.15749663220149299</v>
      </c>
      <c r="D42" s="2">
        <v>-6.5484785809218002E-2</v>
      </c>
      <c r="E42" s="2">
        <v>5.0565826546540397E-2</v>
      </c>
      <c r="F42" s="2">
        <v>3.1228369292817301E-2</v>
      </c>
      <c r="G42" s="2">
        <v>0.49467724738866597</v>
      </c>
      <c r="H42" s="2"/>
      <c r="I42" s="2"/>
      <c r="J42" s="2"/>
      <c r="K42" s="4" t="s">
        <v>54</v>
      </c>
      <c r="L42" s="2">
        <f t="shared" si="0"/>
        <v>0.49467724738866597</v>
      </c>
    </row>
    <row r="43" spans="1:12" x14ac:dyDescent="0.25">
      <c r="A43" s="2">
        <v>2.12602326180499E-2</v>
      </c>
      <c r="B43" s="2">
        <v>0.31498762582331802</v>
      </c>
      <c r="C43" s="2">
        <v>-4.5591042720304398E-2</v>
      </c>
      <c r="D43" s="2">
        <v>0.108406876710714</v>
      </c>
      <c r="E43" s="2">
        <v>-0.19986716400443399</v>
      </c>
      <c r="F43" s="2">
        <v>0.29742458356291201</v>
      </c>
      <c r="G43" s="2">
        <v>0.232329173485715</v>
      </c>
      <c r="H43" s="2"/>
      <c r="I43" s="2"/>
      <c r="J43" s="2"/>
      <c r="K43" s="4" t="s">
        <v>29</v>
      </c>
      <c r="L43" s="2">
        <f t="shared" si="0"/>
        <v>0.31498762582331802</v>
      </c>
    </row>
    <row r="44" spans="1:12" x14ac:dyDescent="0.25">
      <c r="A44" s="2">
        <v>4.4959972896776397E-2</v>
      </c>
      <c r="B44" s="2">
        <v>0.32326080022579401</v>
      </c>
      <c r="C44" s="2">
        <v>-3.0911310586436501E-2</v>
      </c>
      <c r="D44" s="2">
        <v>-2.18543676030051E-2</v>
      </c>
      <c r="E44" s="2">
        <v>-0.103019035194459</v>
      </c>
      <c r="F44" s="2">
        <v>0.284951996868616</v>
      </c>
      <c r="G44" s="2">
        <v>0.246351661020903</v>
      </c>
      <c r="H44" s="2"/>
      <c r="I44" s="2"/>
      <c r="J44" s="2"/>
      <c r="K44" s="4" t="s">
        <v>55</v>
      </c>
      <c r="L44" s="2">
        <f t="shared" si="0"/>
        <v>0.32326080022579401</v>
      </c>
    </row>
    <row r="45" spans="1:12" x14ac:dyDescent="0.25">
      <c r="A45" s="2">
        <v>-6.2042670010967003E-3</v>
      </c>
      <c r="B45" s="2">
        <v>0.40875990321101402</v>
      </c>
      <c r="C45" s="2">
        <v>-8.0504532503329507E-2</v>
      </c>
      <c r="D45" s="2">
        <v>3.0548825076397201E-4</v>
      </c>
      <c r="E45" s="2">
        <v>-0.109291311801338</v>
      </c>
      <c r="F45" s="2">
        <v>0.11619880170491299</v>
      </c>
      <c r="G45" s="2">
        <v>0.284674966552452</v>
      </c>
      <c r="H45" s="2"/>
      <c r="I45" s="2"/>
      <c r="J45" s="2"/>
      <c r="K45" s="4" t="s">
        <v>56</v>
      </c>
      <c r="L45" s="2">
        <f t="shared" si="0"/>
        <v>0.40875990321101402</v>
      </c>
    </row>
    <row r="46" spans="1:12" x14ac:dyDescent="0.25">
      <c r="A46" s="2">
        <v>-8.6268107342532697E-3</v>
      </c>
      <c r="B46" s="2">
        <v>0.16486544734835901</v>
      </c>
      <c r="C46" s="2">
        <v>0.12283080818655399</v>
      </c>
      <c r="D46" s="2">
        <v>-0.227402349490293</v>
      </c>
      <c r="E46" s="2">
        <v>0.158558796230234</v>
      </c>
      <c r="F46" s="2">
        <v>0.169607009456341</v>
      </c>
      <c r="G46" s="2">
        <v>0.214533176083051</v>
      </c>
      <c r="H46" s="2"/>
      <c r="I46" s="2"/>
      <c r="J46" s="2"/>
      <c r="K46" s="4" t="s">
        <v>57</v>
      </c>
      <c r="L46" s="2">
        <f t="shared" si="0"/>
        <v>0.227402349490293</v>
      </c>
    </row>
    <row r="47" spans="1:12" x14ac:dyDescent="0.25">
      <c r="A47" s="2">
        <v>0.25776558475199102</v>
      </c>
      <c r="B47" s="2">
        <v>3.1752655337562198E-2</v>
      </c>
      <c r="C47" s="2">
        <v>5.1815933884278902E-2</v>
      </c>
      <c r="D47" s="2">
        <v>-0.28453852284813302</v>
      </c>
      <c r="E47" s="2">
        <v>-1.19188378199136E-2</v>
      </c>
      <c r="F47" s="2">
        <v>0.112643194079493</v>
      </c>
      <c r="G47" s="2">
        <v>0.301868512762898</v>
      </c>
      <c r="H47" s="2"/>
      <c r="I47" s="2"/>
      <c r="J47" s="2"/>
      <c r="K47" s="4" t="s">
        <v>58</v>
      </c>
      <c r="L47" s="2">
        <f t="shared" si="0"/>
        <v>0.301868512762898</v>
      </c>
    </row>
    <row r="48" spans="1:12" x14ac:dyDescent="0.25">
      <c r="A48" s="2">
        <v>-2.7415788827536001E-2</v>
      </c>
      <c r="B48" s="2">
        <v>-1.4196406881971199E-2</v>
      </c>
      <c r="C48" s="2">
        <v>0.11287416728465299</v>
      </c>
      <c r="D48" s="2">
        <v>-0.72313171691895795</v>
      </c>
      <c r="E48" s="2">
        <v>-1.95633275129917E-2</v>
      </c>
      <c r="F48" s="2">
        <v>-3.7103490293081402E-2</v>
      </c>
      <c r="G48" s="2">
        <v>9.6364169437410802E-2</v>
      </c>
      <c r="H48" s="2"/>
      <c r="I48" s="2"/>
      <c r="J48" s="2"/>
      <c r="K48" s="4" t="s">
        <v>32</v>
      </c>
      <c r="L48" s="2">
        <f t="shared" si="0"/>
        <v>0.72313171691895795</v>
      </c>
    </row>
    <row r="49" spans="1:12" x14ac:dyDescent="0.25">
      <c r="A49" s="2">
        <v>0.14686885179558201</v>
      </c>
      <c r="B49" s="2">
        <v>0.346770418802474</v>
      </c>
      <c r="C49" s="2">
        <v>-8.97486216399596E-2</v>
      </c>
      <c r="D49" s="2">
        <v>3.91836131583942E-2</v>
      </c>
      <c r="E49" s="2">
        <v>-0.34758901950279802</v>
      </c>
      <c r="F49" s="2">
        <v>0.170667004466697</v>
      </c>
      <c r="G49" s="2">
        <v>0.22677730785408301</v>
      </c>
      <c r="H49" s="2"/>
      <c r="I49" s="2"/>
      <c r="J49" s="2"/>
      <c r="K49" s="4" t="s">
        <v>59</v>
      </c>
      <c r="L49" s="2">
        <f t="shared" si="0"/>
        <v>0.34758901950279802</v>
      </c>
    </row>
    <row r="50" spans="1:12" x14ac:dyDescent="0.25">
      <c r="A50" s="2">
        <v>0.20086805141959799</v>
      </c>
      <c r="B50" s="2">
        <v>-5.5272661663178901E-2</v>
      </c>
      <c r="C50" s="2">
        <v>0.156890487747289</v>
      </c>
      <c r="D50" s="2">
        <v>-9.0101714319944001E-2</v>
      </c>
      <c r="E50" s="2">
        <v>-2.6050503832794499E-2</v>
      </c>
      <c r="F50" s="2">
        <v>0.24852005277942099</v>
      </c>
      <c r="G50" s="2">
        <v>8.0006786849537007E-2</v>
      </c>
      <c r="H50" s="2"/>
      <c r="I50" s="2"/>
      <c r="J50" s="2"/>
      <c r="K50" s="4" t="s">
        <v>60</v>
      </c>
      <c r="L50" s="2">
        <f t="shared" si="0"/>
        <v>0.24852005277942099</v>
      </c>
    </row>
  </sheetData>
  <conditionalFormatting sqref="L2:L50">
    <cfRule type="cellIs" dxfId="26" priority="3" operator="lessThan">
      <formula>$O$2</formula>
    </cfRule>
  </conditionalFormatting>
  <conditionalFormatting sqref="A2:J50">
    <cfRule type="cellIs" dxfId="24" priority="1" operator="lessThan">
      <formula>$O$4</formula>
    </cfRule>
    <cfRule type="cellIs" dxfId="23" priority="2" operator="greaterThan">
      <formula>$O$3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zoomScale="85" zoomScaleNormal="85" workbookViewId="0">
      <selection activeCell="O2" sqref="O2"/>
    </sheetView>
  </sheetViews>
  <sheetFormatPr defaultRowHeight="15" x14ac:dyDescent="0.25"/>
  <cols>
    <col min="1" max="10" width="7" style="1" customWidth="1"/>
    <col min="11" max="11" width="11.5703125" style="3" customWidth="1"/>
    <col min="12" max="12" width="6" style="1" customWidth="1"/>
    <col min="13" max="14" width="9.140625" style="1"/>
    <col min="15" max="15" width="7.7109375" style="1" bestFit="1" customWidth="1"/>
    <col min="16" max="16" width="5.85546875" style="1" bestFit="1" customWidth="1"/>
    <col min="17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L1" s="1" t="s">
        <v>61</v>
      </c>
    </row>
    <row r="2" spans="1:15" x14ac:dyDescent="0.25">
      <c r="A2" s="2">
        <v>0.13664760796436001</v>
      </c>
      <c r="B2" s="2">
        <v>-5.58098642842383E-2</v>
      </c>
      <c r="C2" s="2">
        <v>5.0918530441816197E-3</v>
      </c>
      <c r="D2" s="2">
        <v>-0.23384859111536699</v>
      </c>
      <c r="E2" s="2">
        <v>0.39962885511374302</v>
      </c>
      <c r="F2" s="2">
        <v>4.4478258162140898E-2</v>
      </c>
      <c r="G2" s="2"/>
      <c r="H2" s="2"/>
      <c r="I2" s="2"/>
      <c r="J2" s="2"/>
      <c r="K2" s="4" t="s">
        <v>12</v>
      </c>
      <c r="L2" s="2">
        <f>MAX(ABS(A2),ABS(B2),ABS(C2),ABS(D2),ABS(E2),ABS(F2),ABS(G2), ABS(H2), ABS(I2), ABS(J2))</f>
        <v>0.39962885511374302</v>
      </c>
      <c r="N2" s="1" t="s">
        <v>62</v>
      </c>
      <c r="O2" s="1">
        <f>oblimin!O2</f>
        <v>0.25</v>
      </c>
    </row>
    <row r="3" spans="1:15" x14ac:dyDescent="0.25">
      <c r="A3" s="2">
        <v>3.1186852464136699E-2</v>
      </c>
      <c r="B3" s="2">
        <v>4.9388939579295701E-2</v>
      </c>
      <c r="C3" s="2">
        <v>8.5836833325150796E-4</v>
      </c>
      <c r="D3" s="2">
        <v>-0.104265972160276</v>
      </c>
      <c r="E3" s="2">
        <v>0.74317130066566595</v>
      </c>
      <c r="F3" s="2">
        <v>-7.5400785925277998E-3</v>
      </c>
      <c r="G3" s="2"/>
      <c r="H3" s="2"/>
      <c r="I3" s="2"/>
      <c r="J3" s="2"/>
      <c r="K3" s="4" t="s">
        <v>13</v>
      </c>
      <c r="L3" s="2">
        <f t="shared" ref="L3:L50" si="0">MAX(ABS(A3),ABS(B3),ABS(C3),ABS(D3),ABS(E3),ABS(F3),ABS(G3), ABS(H3), ABS(I3), ABS(J3))</f>
        <v>0.74317130066566595</v>
      </c>
      <c r="N3" s="1" t="s">
        <v>10</v>
      </c>
      <c r="O3" s="1">
        <f>O2</f>
        <v>0.25</v>
      </c>
    </row>
    <row r="4" spans="1:15" x14ac:dyDescent="0.25">
      <c r="A4" s="2">
        <v>0.14750105725083601</v>
      </c>
      <c r="B4" s="2">
        <v>9.3120159153253501E-2</v>
      </c>
      <c r="C4" s="2">
        <v>-3.5471195217777599E-2</v>
      </c>
      <c r="D4" s="2">
        <v>-0.187434116404504</v>
      </c>
      <c r="E4" s="2">
        <v>0.60094032421458199</v>
      </c>
      <c r="F4" s="2">
        <v>-9.5453134798658398E-2</v>
      </c>
      <c r="G4" s="2"/>
      <c r="H4" s="2"/>
      <c r="I4" s="2"/>
      <c r="J4" s="2"/>
      <c r="K4" s="4" t="s">
        <v>17</v>
      </c>
      <c r="L4" s="2">
        <f t="shared" si="0"/>
        <v>0.60094032421458199</v>
      </c>
      <c r="N4" s="1" t="s">
        <v>11</v>
      </c>
      <c r="O4" s="1">
        <f>O3*-1</f>
        <v>-0.25</v>
      </c>
    </row>
    <row r="5" spans="1:15" x14ac:dyDescent="0.25">
      <c r="A5" s="2">
        <v>0.105143792570286</v>
      </c>
      <c r="B5" s="2">
        <v>4.8299000102084197E-2</v>
      </c>
      <c r="C5" s="2">
        <v>-9.7768687653439199E-2</v>
      </c>
      <c r="D5" s="2">
        <v>-7.02147595837809E-2</v>
      </c>
      <c r="E5" s="2">
        <v>0.74443811497654999</v>
      </c>
      <c r="F5" s="2">
        <v>-4.6893273359027099E-2</v>
      </c>
      <c r="G5" s="2"/>
      <c r="H5" s="2"/>
      <c r="I5" s="2"/>
      <c r="J5" s="2"/>
      <c r="K5" s="4" t="s">
        <v>18</v>
      </c>
      <c r="L5" s="2">
        <f t="shared" si="0"/>
        <v>0.74443811497654999</v>
      </c>
    </row>
    <row r="6" spans="1:15" x14ac:dyDescent="0.25">
      <c r="A6" s="2">
        <v>0.24387425499462301</v>
      </c>
      <c r="B6" s="2">
        <v>0.108670130765501</v>
      </c>
      <c r="C6" s="2">
        <v>0.16397031845615601</v>
      </c>
      <c r="D6" s="2">
        <v>-0.18653387439146099</v>
      </c>
      <c r="E6" s="2">
        <v>0.24539814770534199</v>
      </c>
      <c r="F6" s="2">
        <v>-8.1940392192019207E-2</v>
      </c>
      <c r="G6" s="2"/>
      <c r="H6" s="2"/>
      <c r="I6" s="2"/>
      <c r="J6" s="2"/>
      <c r="K6" s="4" t="s">
        <v>19</v>
      </c>
      <c r="L6" s="2">
        <f t="shared" si="0"/>
        <v>0.24539814770534199</v>
      </c>
    </row>
    <row r="7" spans="1:15" x14ac:dyDescent="0.25">
      <c r="A7" s="2">
        <v>-9.3600682563749205E-2</v>
      </c>
      <c r="B7" s="2">
        <v>-8.4983151468365596E-3</v>
      </c>
      <c r="C7" s="2">
        <v>0.18685855958846601</v>
      </c>
      <c r="D7" s="2">
        <v>2.4214176052132601E-2</v>
      </c>
      <c r="E7" s="2">
        <v>0.59006002582841</v>
      </c>
      <c r="F7" s="2">
        <v>0.12156146566649199</v>
      </c>
      <c r="G7" s="2"/>
      <c r="H7" s="2"/>
      <c r="I7" s="2"/>
      <c r="J7" s="2"/>
      <c r="K7" s="4" t="s">
        <v>22</v>
      </c>
      <c r="L7" s="2">
        <f t="shared" si="0"/>
        <v>0.59006002582841</v>
      </c>
    </row>
    <row r="8" spans="1:15" x14ac:dyDescent="0.25">
      <c r="A8" s="2">
        <v>0.96579092483526197</v>
      </c>
      <c r="B8" s="2">
        <v>-3.8971497580023802E-4</v>
      </c>
      <c r="C8" s="2">
        <v>6.2023777768180098E-2</v>
      </c>
      <c r="D8" s="2">
        <v>1.27118381174948E-2</v>
      </c>
      <c r="E8" s="2">
        <v>1.3731157598898E-2</v>
      </c>
      <c r="F8" s="2">
        <v>-5.0084556715178898E-2</v>
      </c>
      <c r="G8" s="2"/>
      <c r="H8" s="2"/>
      <c r="I8" s="2"/>
      <c r="J8" s="2"/>
      <c r="K8" s="4" t="s">
        <v>34</v>
      </c>
      <c r="L8" s="2">
        <f t="shared" si="0"/>
        <v>0.96579092483526197</v>
      </c>
    </row>
    <row r="9" spans="1:15" x14ac:dyDescent="0.25">
      <c r="A9" s="2">
        <v>0.83582001460398603</v>
      </c>
      <c r="B9" s="2">
        <v>1.5562227789841E-2</v>
      </c>
      <c r="C9" s="2">
        <v>-2.7205922974661099E-2</v>
      </c>
      <c r="D9" s="2">
        <v>-2.14693136983241E-2</v>
      </c>
      <c r="E9" s="2">
        <v>4.6562353852024799E-2</v>
      </c>
      <c r="F9" s="2">
        <v>9.2184900805612202E-2</v>
      </c>
      <c r="G9" s="2"/>
      <c r="H9" s="2"/>
      <c r="I9" s="2"/>
      <c r="J9" s="2"/>
      <c r="K9" s="4" t="s">
        <v>37</v>
      </c>
      <c r="L9" s="2">
        <f t="shared" si="0"/>
        <v>0.83582001460398603</v>
      </c>
    </row>
    <row r="10" spans="1:15" x14ac:dyDescent="0.25">
      <c r="A10" s="2">
        <v>0.114931862160631</v>
      </c>
      <c r="B10" s="2">
        <v>8.8888527474255699E-2</v>
      </c>
      <c r="C10" s="2">
        <v>0.49506450831631299</v>
      </c>
      <c r="D10" s="2">
        <v>4.1300850192749698E-2</v>
      </c>
      <c r="E10" s="2">
        <v>7.35382401966682E-2</v>
      </c>
      <c r="F10" s="2">
        <v>0.144774649257882</v>
      </c>
      <c r="G10" s="2"/>
      <c r="H10" s="2"/>
      <c r="I10" s="2"/>
      <c r="J10" s="2"/>
      <c r="K10" s="4" t="s">
        <v>14</v>
      </c>
      <c r="L10" s="2">
        <f t="shared" si="0"/>
        <v>0.49506450831631299</v>
      </c>
    </row>
    <row r="11" spans="1:15" x14ac:dyDescent="0.25">
      <c r="A11" s="2">
        <v>0.98622317158653505</v>
      </c>
      <c r="B11" s="2">
        <v>-8.2014005379860092E-3</v>
      </c>
      <c r="C11" s="2">
        <v>4.9803070876186302E-2</v>
      </c>
      <c r="D11" s="2">
        <v>3.8412475997899602E-3</v>
      </c>
      <c r="E11" s="2">
        <v>-4.0817054152873303E-3</v>
      </c>
      <c r="F11" s="2">
        <v>-1.3573382187055999E-2</v>
      </c>
      <c r="G11" s="2"/>
      <c r="H11" s="2"/>
      <c r="I11" s="2"/>
      <c r="J11" s="2"/>
      <c r="K11" s="4" t="s">
        <v>15</v>
      </c>
      <c r="L11" s="2">
        <f t="shared" si="0"/>
        <v>0.98622317158653505</v>
      </c>
    </row>
    <row r="12" spans="1:15" x14ac:dyDescent="0.25">
      <c r="A12" s="2">
        <v>0.87668100946507299</v>
      </c>
      <c r="B12" s="2">
        <v>1.23732707704532E-2</v>
      </c>
      <c r="C12" s="2">
        <v>-1.29694502256892E-2</v>
      </c>
      <c r="D12" s="2">
        <v>-5.88908696058465E-3</v>
      </c>
      <c r="E12" s="2">
        <v>4.2274459074928501E-2</v>
      </c>
      <c r="F12" s="2">
        <v>5.1231583686108501E-2</v>
      </c>
      <c r="G12" s="2"/>
      <c r="H12" s="2"/>
      <c r="I12" s="2"/>
      <c r="J12" s="2"/>
      <c r="K12" s="4" t="s">
        <v>24</v>
      </c>
      <c r="L12" s="2">
        <f t="shared" si="0"/>
        <v>0.87668100946507299</v>
      </c>
    </row>
    <row r="13" spans="1:15" x14ac:dyDescent="0.25">
      <c r="A13" s="2">
        <v>0.38779902447875497</v>
      </c>
      <c r="B13" s="2">
        <v>0.266049521704606</v>
      </c>
      <c r="C13" s="2">
        <v>-0.16753400074416</v>
      </c>
      <c r="D13" s="2">
        <v>-0.16979637945544701</v>
      </c>
      <c r="E13" s="2">
        <v>4.8586370256337399E-2</v>
      </c>
      <c r="F13" s="2">
        <v>-3.5455348591152402E-2</v>
      </c>
      <c r="G13" s="2"/>
      <c r="H13" s="2"/>
      <c r="I13" s="2"/>
      <c r="J13" s="2"/>
      <c r="K13" s="4" t="s">
        <v>38</v>
      </c>
      <c r="L13" s="2">
        <f t="shared" si="0"/>
        <v>0.38779902447875497</v>
      </c>
    </row>
    <row r="14" spans="1:15" x14ac:dyDescent="0.25">
      <c r="A14" s="2">
        <v>0.35975527433943699</v>
      </c>
      <c r="B14" s="2">
        <v>0.25537411084355499</v>
      </c>
      <c r="C14" s="2">
        <v>-0.22259840785747401</v>
      </c>
      <c r="D14" s="2">
        <v>-0.16288498309695901</v>
      </c>
      <c r="E14" s="2">
        <v>7.6198687010544898E-3</v>
      </c>
      <c r="F14" s="2">
        <v>-1.9299264212357E-2</v>
      </c>
      <c r="G14" s="2"/>
      <c r="H14" s="2"/>
      <c r="I14" s="2"/>
      <c r="J14" s="2"/>
      <c r="K14" s="4" t="s">
        <v>28</v>
      </c>
      <c r="L14" s="2">
        <f t="shared" si="0"/>
        <v>0.35975527433943699</v>
      </c>
    </row>
    <row r="15" spans="1:15" x14ac:dyDescent="0.25">
      <c r="A15" s="2">
        <v>-0.18955356559526201</v>
      </c>
      <c r="B15" s="2">
        <v>8.7459145362974694E-2</v>
      </c>
      <c r="C15" s="2">
        <v>0.60275710641894498</v>
      </c>
      <c r="D15" s="2">
        <v>2.3465421593136901E-2</v>
      </c>
      <c r="E15" s="2">
        <v>0.17065388229072601</v>
      </c>
      <c r="F15" s="2">
        <v>0.13724345837995</v>
      </c>
      <c r="G15" s="2"/>
      <c r="H15" s="2"/>
      <c r="I15" s="2"/>
      <c r="J15" s="2"/>
      <c r="K15" s="4" t="s">
        <v>39</v>
      </c>
      <c r="L15" s="2">
        <f t="shared" si="0"/>
        <v>0.60275710641894498</v>
      </c>
    </row>
    <row r="16" spans="1:15" x14ac:dyDescent="0.25">
      <c r="A16" s="2">
        <v>-7.8397699306299695E-2</v>
      </c>
      <c r="B16" s="2">
        <v>1.52615410515042E-2</v>
      </c>
      <c r="C16" s="2">
        <v>0.58087321357726796</v>
      </c>
      <c r="D16" s="2">
        <v>7.8563785560573696E-2</v>
      </c>
      <c r="E16" s="2">
        <v>0.15993092488181501</v>
      </c>
      <c r="F16" s="2">
        <v>7.7258905357269494E-2</v>
      </c>
      <c r="G16" s="2"/>
      <c r="H16" s="2"/>
      <c r="I16" s="2"/>
      <c r="J16" s="2"/>
      <c r="K16" s="4" t="s">
        <v>26</v>
      </c>
      <c r="L16" s="2">
        <f t="shared" si="0"/>
        <v>0.58087321357726796</v>
      </c>
    </row>
    <row r="17" spans="1:12" x14ac:dyDescent="0.25">
      <c r="A17" s="2">
        <v>0.27039058198268401</v>
      </c>
      <c r="B17" s="2">
        <v>0.13557830415948999</v>
      </c>
      <c r="C17" s="2">
        <v>-8.2152182339726904E-2</v>
      </c>
      <c r="D17" s="2">
        <v>-5.9359308927424498E-2</v>
      </c>
      <c r="E17" s="2">
        <v>0.17678432379769601</v>
      </c>
      <c r="F17" s="2">
        <v>-9.5002820275737698E-2</v>
      </c>
      <c r="G17" s="2"/>
      <c r="H17" s="2"/>
      <c r="I17" s="2"/>
      <c r="J17" s="2"/>
      <c r="K17" s="4" t="s">
        <v>35</v>
      </c>
      <c r="L17" s="2">
        <f t="shared" si="0"/>
        <v>0.27039058198268401</v>
      </c>
    </row>
    <row r="18" spans="1:12" x14ac:dyDescent="0.25">
      <c r="A18" s="2">
        <v>5.2008061641738601E-2</v>
      </c>
      <c r="B18" s="2">
        <v>0.16469191288401799</v>
      </c>
      <c r="C18" s="2">
        <v>0.68563899106124704</v>
      </c>
      <c r="D18" s="2">
        <v>-0.10143424318668599</v>
      </c>
      <c r="E18" s="2">
        <v>-8.4190830214248794E-2</v>
      </c>
      <c r="F18" s="2">
        <v>-0.10340194270342901</v>
      </c>
      <c r="G18" s="2"/>
      <c r="H18" s="2"/>
      <c r="I18" s="2"/>
      <c r="J18" s="2"/>
      <c r="K18" s="4" t="s">
        <v>40</v>
      </c>
      <c r="L18" s="2">
        <f t="shared" si="0"/>
        <v>0.68563899106124704</v>
      </c>
    </row>
    <row r="19" spans="1:12" x14ac:dyDescent="0.25">
      <c r="A19" s="2">
        <v>3.1492881005516102E-2</v>
      </c>
      <c r="B19" s="2">
        <v>0.16368474933404101</v>
      </c>
      <c r="C19" s="2">
        <v>-0.22462371147164301</v>
      </c>
      <c r="D19" s="2">
        <v>-0.115206726482071</v>
      </c>
      <c r="E19" s="2">
        <v>8.2782298173961003E-2</v>
      </c>
      <c r="F19" s="2">
        <v>0.19523272333357899</v>
      </c>
      <c r="G19" s="2"/>
      <c r="H19" s="2"/>
      <c r="I19" s="2"/>
      <c r="J19" s="2"/>
      <c r="K19" s="4" t="s">
        <v>33</v>
      </c>
      <c r="L19" s="2">
        <f t="shared" si="0"/>
        <v>0.22462371147164301</v>
      </c>
    </row>
    <row r="20" spans="1:12" x14ac:dyDescent="0.25">
      <c r="A20" s="2">
        <v>3.2226069933231197E-2</v>
      </c>
      <c r="B20" s="2">
        <v>5.5947337247566301E-2</v>
      </c>
      <c r="C20" s="2">
        <v>0.82529513078703698</v>
      </c>
      <c r="D20" s="2">
        <v>-6.1892473115392102E-2</v>
      </c>
      <c r="E20" s="2">
        <v>-0.13394139311666001</v>
      </c>
      <c r="F20" s="2">
        <v>-0.158064480295521</v>
      </c>
      <c r="G20" s="2"/>
      <c r="H20" s="2"/>
      <c r="I20" s="2"/>
      <c r="J20" s="2"/>
      <c r="K20" s="4" t="s">
        <v>27</v>
      </c>
      <c r="L20" s="2">
        <f t="shared" si="0"/>
        <v>0.82529513078703698</v>
      </c>
    </row>
    <row r="21" spans="1:12" x14ac:dyDescent="0.25">
      <c r="A21" s="2">
        <v>0.44837673585417198</v>
      </c>
      <c r="B21" s="2">
        <v>6.4721602334954706E-2</v>
      </c>
      <c r="C21" s="2">
        <v>-0.21836298534909199</v>
      </c>
      <c r="D21" s="2">
        <v>1.5717204674233098E-2</v>
      </c>
      <c r="E21" s="2">
        <v>9.8361941215654503E-2</v>
      </c>
      <c r="F21" s="2">
        <v>0.27363287995560598</v>
      </c>
      <c r="G21" s="2"/>
      <c r="H21" s="2"/>
      <c r="I21" s="2"/>
      <c r="J21" s="2"/>
      <c r="K21" s="4" t="s">
        <v>41</v>
      </c>
      <c r="L21" s="2">
        <f t="shared" si="0"/>
        <v>0.44837673585417198</v>
      </c>
    </row>
    <row r="22" spans="1:12" x14ac:dyDescent="0.25">
      <c r="A22" s="2">
        <v>0.114033577228334</v>
      </c>
      <c r="B22" s="2">
        <v>-2.9304387882086901E-2</v>
      </c>
      <c r="C22" s="2">
        <v>0.79637581492204401</v>
      </c>
      <c r="D22" s="2">
        <v>-2.3949190674589501E-2</v>
      </c>
      <c r="E22" s="2">
        <v>-3.0591753756700799E-2</v>
      </c>
      <c r="F22" s="2">
        <v>-1.7478394237131701E-2</v>
      </c>
      <c r="G22" s="2"/>
      <c r="H22" s="2"/>
      <c r="I22" s="2"/>
      <c r="J22" s="2"/>
      <c r="K22" s="4" t="s">
        <v>42</v>
      </c>
      <c r="L22" s="2">
        <f t="shared" si="0"/>
        <v>0.79637581492204401</v>
      </c>
    </row>
    <row r="23" spans="1:12" x14ac:dyDescent="0.25">
      <c r="A23" s="2">
        <v>3.7663711213678903E-2</v>
      </c>
      <c r="B23" s="2">
        <v>0.94481030651390197</v>
      </c>
      <c r="C23" s="2">
        <v>-2.6230562220837101E-2</v>
      </c>
      <c r="D23" s="2">
        <v>-2.8048085239434899E-2</v>
      </c>
      <c r="E23" s="2">
        <v>-4.5045682428697997E-2</v>
      </c>
      <c r="F23" s="2">
        <v>3.1559605987333698E-2</v>
      </c>
      <c r="G23" s="2"/>
      <c r="H23" s="2"/>
      <c r="I23" s="2"/>
      <c r="J23" s="2"/>
      <c r="K23" s="4" t="s">
        <v>43</v>
      </c>
      <c r="L23" s="2">
        <f t="shared" si="0"/>
        <v>0.94481030651390197</v>
      </c>
    </row>
    <row r="24" spans="1:12" x14ac:dyDescent="0.25">
      <c r="A24" s="2">
        <v>3.89297723002833E-2</v>
      </c>
      <c r="B24" s="2">
        <v>0.84265120722362097</v>
      </c>
      <c r="C24" s="2">
        <v>9.8431442404961194E-3</v>
      </c>
      <c r="D24" s="2">
        <v>6.6805389947363902E-2</v>
      </c>
      <c r="E24" s="2">
        <v>0.109288945978485</v>
      </c>
      <c r="F24" s="2">
        <v>-7.2170715499704094E-2</v>
      </c>
      <c r="G24" s="2"/>
      <c r="H24" s="2"/>
      <c r="I24" s="2"/>
      <c r="J24" s="2"/>
      <c r="K24" s="4" t="s">
        <v>44</v>
      </c>
      <c r="L24" s="2">
        <f t="shared" si="0"/>
        <v>0.84265120722362097</v>
      </c>
    </row>
    <row r="25" spans="1:12" x14ac:dyDescent="0.25">
      <c r="A25" s="2">
        <v>1.79723049114093E-2</v>
      </c>
      <c r="B25" s="2">
        <v>0.91929374891915605</v>
      </c>
      <c r="C25" s="2">
        <v>-2.6044409190236598E-2</v>
      </c>
      <c r="D25" s="2">
        <v>-8.3016381607309703E-2</v>
      </c>
      <c r="E25" s="2">
        <v>-5.4288412605622803E-2</v>
      </c>
      <c r="F25" s="2">
        <v>1.05032506076389E-2</v>
      </c>
      <c r="G25" s="2"/>
      <c r="H25" s="2"/>
      <c r="I25" s="2"/>
      <c r="J25" s="2"/>
      <c r="K25" s="4" t="s">
        <v>45</v>
      </c>
      <c r="L25" s="2">
        <f t="shared" si="0"/>
        <v>0.91929374891915605</v>
      </c>
    </row>
    <row r="26" spans="1:12" x14ac:dyDescent="0.25">
      <c r="A26" s="2">
        <v>-3.4113558208979003E-2</v>
      </c>
      <c r="B26" s="2">
        <v>0.52227711956885603</v>
      </c>
      <c r="C26" s="2">
        <v>-3.3252432983237698E-2</v>
      </c>
      <c r="D26" s="2">
        <v>-9.7617029462050295E-2</v>
      </c>
      <c r="E26" s="2">
        <v>4.1687078487022897E-2</v>
      </c>
      <c r="F26" s="2">
        <v>3.43075374917187E-2</v>
      </c>
      <c r="G26" s="2"/>
      <c r="H26" s="2"/>
      <c r="I26" s="2"/>
      <c r="J26" s="2"/>
      <c r="K26" s="4" t="s">
        <v>30</v>
      </c>
      <c r="L26" s="2">
        <f t="shared" si="0"/>
        <v>0.52227711956885603</v>
      </c>
    </row>
    <row r="27" spans="1:12" x14ac:dyDescent="0.25">
      <c r="A27" s="2">
        <v>3.4459792612061398E-2</v>
      </c>
      <c r="B27" s="2">
        <v>0.82580069757133001</v>
      </c>
      <c r="C27" s="2">
        <v>-4.1702112860788197E-2</v>
      </c>
      <c r="D27" s="2">
        <v>4.3790193761174802E-2</v>
      </c>
      <c r="E27" s="2">
        <v>0.111858815646369</v>
      </c>
      <c r="F27" s="2">
        <v>-4.5852176475841402E-2</v>
      </c>
      <c r="G27" s="2"/>
      <c r="H27" s="2"/>
      <c r="I27" s="2"/>
      <c r="J27" s="2"/>
      <c r="K27" s="4" t="s">
        <v>31</v>
      </c>
      <c r="L27" s="2">
        <f t="shared" si="0"/>
        <v>0.82580069757133001</v>
      </c>
    </row>
    <row r="28" spans="1:12" x14ac:dyDescent="0.25">
      <c r="A28" s="2">
        <v>-0.109163750956423</v>
      </c>
      <c r="B28" s="2">
        <v>0.74867956174318995</v>
      </c>
      <c r="C28" s="2">
        <v>0.26862259900923402</v>
      </c>
      <c r="D28" s="2">
        <v>8.8218738923877098E-3</v>
      </c>
      <c r="E28" s="2">
        <v>-1.41300172314509E-2</v>
      </c>
      <c r="F28" s="2">
        <v>0.13053021340990401</v>
      </c>
      <c r="G28" s="2"/>
      <c r="H28" s="2"/>
      <c r="I28" s="2"/>
      <c r="J28" s="2"/>
      <c r="K28" s="4" t="s">
        <v>21</v>
      </c>
      <c r="L28" s="2">
        <f t="shared" si="0"/>
        <v>0.74867956174318995</v>
      </c>
    </row>
    <row r="29" spans="1:12" x14ac:dyDescent="0.25">
      <c r="A29" s="2">
        <v>6.5610741584387303E-2</v>
      </c>
      <c r="B29" s="2">
        <v>0.331093816116388</v>
      </c>
      <c r="C29" s="2">
        <v>2.7533472277937999E-2</v>
      </c>
      <c r="D29" s="2">
        <v>-0.114839743611701</v>
      </c>
      <c r="E29" s="2">
        <v>0.20150433733613901</v>
      </c>
      <c r="F29" s="2">
        <v>5.0689869199834502E-2</v>
      </c>
      <c r="G29" s="2"/>
      <c r="H29" s="2"/>
      <c r="I29" s="2"/>
      <c r="J29" s="2"/>
      <c r="K29" s="4" t="s">
        <v>46</v>
      </c>
      <c r="L29" s="2">
        <f t="shared" si="0"/>
        <v>0.331093816116388</v>
      </c>
    </row>
    <row r="30" spans="1:12" x14ac:dyDescent="0.25">
      <c r="A30" s="2">
        <v>-0.178968201491981</v>
      </c>
      <c r="B30" s="2">
        <v>0.22634680624216999</v>
      </c>
      <c r="C30" s="2">
        <v>0.44232138039715702</v>
      </c>
      <c r="D30" s="2">
        <v>4.6694732481245199E-2</v>
      </c>
      <c r="E30" s="2">
        <v>0.201632598368363</v>
      </c>
      <c r="F30" s="2">
        <v>0.15328959565250699</v>
      </c>
      <c r="G30" s="2"/>
      <c r="H30" s="2"/>
      <c r="I30" s="2"/>
      <c r="J30" s="2"/>
      <c r="K30" s="4" t="s">
        <v>25</v>
      </c>
      <c r="L30" s="2">
        <f t="shared" si="0"/>
        <v>0.44232138039715702</v>
      </c>
    </row>
    <row r="31" spans="1:12" x14ac:dyDescent="0.25">
      <c r="A31" s="2">
        <v>1.0972884487352201E-2</v>
      </c>
      <c r="B31" s="2">
        <v>0.45088686207737499</v>
      </c>
      <c r="C31" s="2">
        <v>7.6336396735645101E-2</v>
      </c>
      <c r="D31" s="2">
        <v>-6.35058368381657E-2</v>
      </c>
      <c r="E31" s="2">
        <v>0.195452536659491</v>
      </c>
      <c r="F31" s="2">
        <v>-5.7072503350691701E-2</v>
      </c>
      <c r="G31" s="2"/>
      <c r="H31" s="2"/>
      <c r="I31" s="2"/>
      <c r="J31" s="2"/>
      <c r="K31" s="4" t="s">
        <v>47</v>
      </c>
      <c r="L31" s="2">
        <f t="shared" si="0"/>
        <v>0.45088686207737499</v>
      </c>
    </row>
    <row r="32" spans="1:12" x14ac:dyDescent="0.25">
      <c r="A32" s="2">
        <v>0.27870562018079698</v>
      </c>
      <c r="B32" s="2">
        <v>0.13493273844706</v>
      </c>
      <c r="C32" s="2">
        <v>-8.1440413921306895E-2</v>
      </c>
      <c r="D32" s="2">
        <v>-0.240374584201557</v>
      </c>
      <c r="E32" s="2">
        <v>-3.1900261303851799E-4</v>
      </c>
      <c r="F32" s="2">
        <v>0.472017719323438</v>
      </c>
      <c r="G32" s="2"/>
      <c r="H32" s="2"/>
      <c r="I32" s="2"/>
      <c r="J32" s="2"/>
      <c r="K32" s="4" t="s">
        <v>16</v>
      </c>
      <c r="L32" s="2">
        <f t="shared" si="0"/>
        <v>0.472017719323438</v>
      </c>
    </row>
    <row r="33" spans="1:12" x14ac:dyDescent="0.25">
      <c r="A33" s="2">
        <v>0.14529276874140101</v>
      </c>
      <c r="B33" s="2">
        <v>0.27136779403829098</v>
      </c>
      <c r="C33" s="2">
        <v>-2.88586750663836E-3</v>
      </c>
      <c r="D33" s="2">
        <v>-0.16477092040980901</v>
      </c>
      <c r="E33" s="2">
        <v>0.117991913454982</v>
      </c>
      <c r="F33" s="2">
        <v>0.441451747277603</v>
      </c>
      <c r="G33" s="2"/>
      <c r="H33" s="2"/>
      <c r="I33" s="2"/>
      <c r="J33" s="2"/>
      <c r="K33" s="4" t="s">
        <v>23</v>
      </c>
      <c r="L33" s="2">
        <f t="shared" si="0"/>
        <v>0.441451747277603</v>
      </c>
    </row>
    <row r="34" spans="1:12" x14ac:dyDescent="0.25">
      <c r="A34" s="2">
        <v>0.127954538309139</v>
      </c>
      <c r="B34" s="2">
        <v>7.4049677207736406E-2</v>
      </c>
      <c r="C34" s="2">
        <v>-6.8654196802289597E-2</v>
      </c>
      <c r="D34" s="2">
        <v>-0.38493027415230402</v>
      </c>
      <c r="E34" s="2">
        <v>-5.2965811752476902E-2</v>
      </c>
      <c r="F34" s="2">
        <v>0.384900037003294</v>
      </c>
      <c r="G34" s="2"/>
      <c r="H34" s="2"/>
      <c r="I34" s="2"/>
      <c r="J34" s="2"/>
      <c r="K34" s="4" t="s">
        <v>48</v>
      </c>
      <c r="L34" s="2">
        <f t="shared" si="0"/>
        <v>0.38493027415230402</v>
      </c>
    </row>
    <row r="35" spans="1:12" x14ac:dyDescent="0.25">
      <c r="A35" s="2">
        <v>-4.5342221316425603E-2</v>
      </c>
      <c r="B35" s="2">
        <v>-7.8228562409044702E-2</v>
      </c>
      <c r="C35" s="2">
        <v>0.44705477129710602</v>
      </c>
      <c r="D35" s="2">
        <v>-0.22007805234542199</v>
      </c>
      <c r="E35" s="2">
        <v>-3.7694831328279103E-2</v>
      </c>
      <c r="F35" s="2">
        <v>0.15163072324301799</v>
      </c>
      <c r="G35" s="2"/>
      <c r="H35" s="2"/>
      <c r="I35" s="2"/>
      <c r="J35" s="2"/>
      <c r="K35" s="4" t="s">
        <v>49</v>
      </c>
      <c r="L35" s="2">
        <f t="shared" si="0"/>
        <v>0.44705477129710602</v>
      </c>
    </row>
    <row r="36" spans="1:12" x14ac:dyDescent="0.25">
      <c r="A36" s="2">
        <v>0.118554944741135</v>
      </c>
      <c r="B36" s="2">
        <v>4.83975732937241E-2</v>
      </c>
      <c r="C36" s="2">
        <v>-2.70623275194396E-2</v>
      </c>
      <c r="D36" s="2">
        <v>-0.707922233150588</v>
      </c>
      <c r="E36" s="2">
        <v>2.0482308402515598E-2</v>
      </c>
      <c r="F36" s="2">
        <v>0.16161741252996301</v>
      </c>
      <c r="G36" s="2"/>
      <c r="H36" s="2"/>
      <c r="I36" s="2"/>
      <c r="J36" s="2"/>
      <c r="K36" s="4" t="s">
        <v>36</v>
      </c>
      <c r="L36" s="2">
        <f t="shared" si="0"/>
        <v>0.707922233150588</v>
      </c>
    </row>
    <row r="37" spans="1:12" x14ac:dyDescent="0.25">
      <c r="A37" s="2">
        <v>0.145993162262537</v>
      </c>
      <c r="B37" s="2">
        <v>-3.7962815289981501E-2</v>
      </c>
      <c r="C37" s="2">
        <v>3.6139276515386697E-2</v>
      </c>
      <c r="D37" s="2">
        <v>-0.61770873135678395</v>
      </c>
      <c r="E37" s="2">
        <v>5.5091315082378203E-2</v>
      </c>
      <c r="F37" s="2">
        <v>-1.42731887446298E-2</v>
      </c>
      <c r="G37" s="2"/>
      <c r="H37" s="2"/>
      <c r="I37" s="2"/>
      <c r="J37" s="2"/>
      <c r="K37" s="4" t="s">
        <v>50</v>
      </c>
      <c r="L37" s="2">
        <f t="shared" si="0"/>
        <v>0.61770873135678395</v>
      </c>
    </row>
    <row r="38" spans="1:12" x14ac:dyDescent="0.25">
      <c r="A38" s="2">
        <v>3.3922685467635799E-2</v>
      </c>
      <c r="B38" s="2">
        <v>-5.9300866220880301E-2</v>
      </c>
      <c r="C38" s="2">
        <v>2.9724957738611901E-2</v>
      </c>
      <c r="D38" s="2">
        <v>-0.87429657674743</v>
      </c>
      <c r="E38" s="2">
        <v>8.0969720673241999E-2</v>
      </c>
      <c r="F38" s="2">
        <v>-3.6024524216170001E-2</v>
      </c>
      <c r="G38" s="2"/>
      <c r="H38" s="2"/>
      <c r="I38" s="2"/>
      <c r="J38" s="2"/>
      <c r="K38" s="4" t="s">
        <v>51</v>
      </c>
      <c r="L38" s="2">
        <f t="shared" si="0"/>
        <v>0.87429657674743</v>
      </c>
    </row>
    <row r="39" spans="1:12" x14ac:dyDescent="0.25">
      <c r="A39" s="2">
        <v>-8.6883701279364303E-2</v>
      </c>
      <c r="B39" s="2">
        <v>5.3701800496682599E-2</v>
      </c>
      <c r="C39" s="2">
        <v>-3.61396876679047E-2</v>
      </c>
      <c r="D39" s="2">
        <v>-0.85846575611127796</v>
      </c>
      <c r="E39" s="2">
        <v>1.8001727596122299E-2</v>
      </c>
      <c r="F39" s="2">
        <v>3.2206437432824801E-2</v>
      </c>
      <c r="G39" s="2"/>
      <c r="H39" s="2"/>
      <c r="I39" s="2"/>
      <c r="J39" s="2"/>
      <c r="K39" s="4" t="s">
        <v>20</v>
      </c>
      <c r="L39" s="2">
        <f t="shared" si="0"/>
        <v>0.85846575611127796</v>
      </c>
    </row>
    <row r="40" spans="1:12" x14ac:dyDescent="0.25">
      <c r="A40" s="2">
        <v>-1.52544531951176E-2</v>
      </c>
      <c r="B40" s="2">
        <v>-2.0485951934615301E-2</v>
      </c>
      <c r="C40" s="2">
        <v>5.4546125687531102E-2</v>
      </c>
      <c r="D40" s="2">
        <v>-0.93483602891974904</v>
      </c>
      <c r="E40" s="2">
        <v>4.9107317923529299E-2</v>
      </c>
      <c r="F40" s="2">
        <v>-7.9309534601151893E-2</v>
      </c>
      <c r="G40" s="2"/>
      <c r="H40" s="2"/>
      <c r="I40" s="2"/>
      <c r="J40" s="2"/>
      <c r="K40" s="4" t="s">
        <v>52</v>
      </c>
      <c r="L40" s="2">
        <f t="shared" si="0"/>
        <v>0.93483602891974904</v>
      </c>
    </row>
    <row r="41" spans="1:12" x14ac:dyDescent="0.25">
      <c r="A41" s="2">
        <v>0.14878265559648701</v>
      </c>
      <c r="B41" s="2">
        <v>-1.21311125452015E-2</v>
      </c>
      <c r="C41" s="2">
        <v>0.25387215890845999</v>
      </c>
      <c r="D41" s="2">
        <v>-6.4846952978706393E-2</v>
      </c>
      <c r="E41" s="2">
        <v>2.7260060204109701E-2</v>
      </c>
      <c r="F41" s="2">
        <v>0.49449929465578801</v>
      </c>
      <c r="G41" s="2"/>
      <c r="H41" s="2"/>
      <c r="I41" s="2"/>
      <c r="J41" s="2"/>
      <c r="K41" s="4" t="s">
        <v>53</v>
      </c>
      <c r="L41" s="2">
        <f t="shared" si="0"/>
        <v>0.49449929465578801</v>
      </c>
    </row>
    <row r="42" spans="1:12" x14ac:dyDescent="0.25">
      <c r="A42" s="2">
        <v>4.5654922144253901E-2</v>
      </c>
      <c r="B42" s="2">
        <v>0.27020074073685602</v>
      </c>
      <c r="C42" s="2">
        <v>0.29700159637562001</v>
      </c>
      <c r="D42" s="2">
        <v>-6.9776008357462102E-2</v>
      </c>
      <c r="E42" s="2">
        <v>-9.9440041928036595E-3</v>
      </c>
      <c r="F42" s="2">
        <v>0.39610558025757803</v>
      </c>
      <c r="G42" s="2"/>
      <c r="H42" s="2"/>
      <c r="I42" s="2"/>
      <c r="J42" s="2"/>
      <c r="K42" s="4" t="s">
        <v>54</v>
      </c>
      <c r="L42" s="2">
        <f t="shared" si="0"/>
        <v>0.39610558025757803</v>
      </c>
    </row>
    <row r="43" spans="1:12" x14ac:dyDescent="0.25">
      <c r="A43" s="2">
        <v>-3.6644832614105498E-2</v>
      </c>
      <c r="B43" s="2">
        <v>-8.3318737294307804E-2</v>
      </c>
      <c r="C43" s="2">
        <v>0.46968260429370901</v>
      </c>
      <c r="D43" s="2">
        <v>0.112779804035762</v>
      </c>
      <c r="E43" s="2">
        <v>0.24312974463855699</v>
      </c>
      <c r="F43" s="2">
        <v>0.19543639904125901</v>
      </c>
      <c r="G43" s="2"/>
      <c r="H43" s="2"/>
      <c r="I43" s="2"/>
      <c r="J43" s="2"/>
      <c r="K43" s="4" t="s">
        <v>29</v>
      </c>
      <c r="L43" s="2">
        <f t="shared" si="0"/>
        <v>0.46968260429370901</v>
      </c>
    </row>
    <row r="44" spans="1:12" x14ac:dyDescent="0.25">
      <c r="A44" s="2">
        <v>1.50143636866862E-2</v>
      </c>
      <c r="B44" s="2">
        <v>-3.7270560707244098E-2</v>
      </c>
      <c r="C44" s="2">
        <v>0.43973574370568702</v>
      </c>
      <c r="D44" s="2">
        <v>-2.8955332609114998E-2</v>
      </c>
      <c r="E44" s="2">
        <v>0.230233416409172</v>
      </c>
      <c r="F44" s="2">
        <v>0.217827082597635</v>
      </c>
      <c r="G44" s="2"/>
      <c r="H44" s="2"/>
      <c r="I44" s="2"/>
      <c r="J44" s="2"/>
      <c r="K44" s="4" t="s">
        <v>55</v>
      </c>
      <c r="L44" s="2">
        <f t="shared" si="0"/>
        <v>0.43973574370568702</v>
      </c>
    </row>
    <row r="45" spans="1:12" x14ac:dyDescent="0.25">
      <c r="A45" s="2">
        <v>-3.8196303841328202E-2</v>
      </c>
      <c r="B45" s="2">
        <v>-6.4402569135446494E-2</v>
      </c>
      <c r="C45" s="2">
        <v>0.51516066544911898</v>
      </c>
      <c r="D45" s="2">
        <v>-1.03378807953375E-2</v>
      </c>
      <c r="E45" s="2">
        <v>5.6437789521827902E-2</v>
      </c>
      <c r="F45" s="2">
        <v>0.23327156518314299</v>
      </c>
      <c r="G45" s="2"/>
      <c r="H45" s="2"/>
      <c r="I45" s="2"/>
      <c r="J45" s="2"/>
      <c r="K45" s="4" t="s">
        <v>56</v>
      </c>
      <c r="L45" s="2">
        <f t="shared" si="0"/>
        <v>0.51516066544911898</v>
      </c>
    </row>
    <row r="46" spans="1:12" x14ac:dyDescent="0.25">
      <c r="A46" s="2">
        <v>3.5093917881718201E-2</v>
      </c>
      <c r="B46" s="2">
        <v>0.19739703090795199</v>
      </c>
      <c r="C46" s="2">
        <v>0.15578613556246701</v>
      </c>
      <c r="D46" s="2">
        <v>-0.26040810571207901</v>
      </c>
      <c r="E46" s="2">
        <v>0.136116257717874</v>
      </c>
      <c r="F46" s="2">
        <v>0.185048208627448</v>
      </c>
      <c r="G46" s="2"/>
      <c r="H46" s="2"/>
      <c r="I46" s="2"/>
      <c r="J46" s="2"/>
      <c r="K46" s="4" t="s">
        <v>57</v>
      </c>
      <c r="L46" s="2">
        <f t="shared" si="0"/>
        <v>0.26040810571207901</v>
      </c>
    </row>
    <row r="47" spans="1:12" x14ac:dyDescent="0.25">
      <c r="A47" s="2">
        <v>0.21331267494418499</v>
      </c>
      <c r="B47" s="2">
        <v>4.0049156980126198E-2</v>
      </c>
      <c r="C47" s="2">
        <v>6.1248881356734203E-2</v>
      </c>
      <c r="D47" s="2">
        <v>-0.282226404587475</v>
      </c>
      <c r="E47" s="2">
        <v>8.57780650235586E-2</v>
      </c>
      <c r="F47" s="2">
        <v>0.38906149049601402</v>
      </c>
      <c r="G47" s="2"/>
      <c r="H47" s="2"/>
      <c r="I47" s="2"/>
      <c r="J47" s="2"/>
      <c r="K47" s="4" t="s">
        <v>58</v>
      </c>
      <c r="L47" s="2">
        <f t="shared" si="0"/>
        <v>0.38906149049601402</v>
      </c>
    </row>
    <row r="48" spans="1:12" x14ac:dyDescent="0.25">
      <c r="A48" s="2">
        <v>-6.0715884383540003E-2</v>
      </c>
      <c r="B48" s="2">
        <v>0.13653437721147699</v>
      </c>
      <c r="C48" s="2">
        <v>-8.9002912668776704E-3</v>
      </c>
      <c r="D48" s="2">
        <v>-0.69377020073630202</v>
      </c>
      <c r="E48" s="2">
        <v>-2.3019244897547701E-2</v>
      </c>
      <c r="F48" s="2">
        <v>0.101991282235458</v>
      </c>
      <c r="G48" s="2"/>
      <c r="H48" s="2"/>
      <c r="I48" s="2"/>
      <c r="J48" s="2"/>
      <c r="K48" s="4" t="s">
        <v>32</v>
      </c>
      <c r="L48" s="2">
        <f t="shared" si="0"/>
        <v>0.69377020073630202</v>
      </c>
    </row>
    <row r="49" spans="1:12" x14ac:dyDescent="0.25">
      <c r="A49" s="2">
        <v>3.2420598358382798E-2</v>
      </c>
      <c r="B49" s="2">
        <v>-0.16492880962955001</v>
      </c>
      <c r="C49" s="2">
        <v>0.52775075459413401</v>
      </c>
      <c r="D49" s="2">
        <v>7.5514979141388702E-2</v>
      </c>
      <c r="E49" s="2">
        <v>0.12745717232565101</v>
      </c>
      <c r="F49" s="2">
        <v>0.21261519305634299</v>
      </c>
      <c r="G49" s="2"/>
      <c r="H49" s="2"/>
      <c r="I49" s="2"/>
      <c r="J49" s="2"/>
      <c r="K49" s="4" t="s">
        <v>59</v>
      </c>
      <c r="L49" s="2">
        <f t="shared" si="0"/>
        <v>0.52775075459413401</v>
      </c>
    </row>
    <row r="50" spans="1:12" x14ac:dyDescent="0.25">
      <c r="A50" s="2">
        <v>0.17753686139592501</v>
      </c>
      <c r="B50" s="2">
        <v>0.12928283467409901</v>
      </c>
      <c r="C50" s="2">
        <v>-1.861218960124E-2</v>
      </c>
      <c r="D50" s="2">
        <v>-7.5818346057396499E-2</v>
      </c>
      <c r="E50" s="2">
        <v>0.250937446445611</v>
      </c>
      <c r="F50" s="2">
        <v>0.11530759196292199</v>
      </c>
      <c r="G50" s="2"/>
      <c r="H50" s="2"/>
      <c r="I50" s="2"/>
      <c r="J50" s="2"/>
      <c r="K50" s="4" t="s">
        <v>60</v>
      </c>
      <c r="L50" s="2">
        <f t="shared" si="0"/>
        <v>0.250937446445611</v>
      </c>
    </row>
  </sheetData>
  <conditionalFormatting sqref="L2:L50">
    <cfRule type="cellIs" dxfId="20" priority="3" operator="lessThan">
      <formula>$O$2</formula>
    </cfRule>
  </conditionalFormatting>
  <conditionalFormatting sqref="A2:J50">
    <cfRule type="cellIs" dxfId="18" priority="1" operator="lessThan">
      <formula>$O$4</formula>
    </cfRule>
    <cfRule type="cellIs" dxfId="17" priority="2" operator="greaterThan">
      <formula>$O$3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zoomScale="85" zoomScaleNormal="85" workbookViewId="0">
      <selection activeCell="O2" sqref="O2"/>
    </sheetView>
  </sheetViews>
  <sheetFormatPr defaultRowHeight="15" x14ac:dyDescent="0.25"/>
  <cols>
    <col min="1" max="10" width="7" style="1" customWidth="1"/>
    <col min="11" max="11" width="11.5703125" style="3" customWidth="1"/>
    <col min="12" max="12" width="6" style="1" customWidth="1"/>
    <col min="13" max="14" width="9.140625" style="1"/>
    <col min="15" max="15" width="7.7109375" style="1" bestFit="1" customWidth="1"/>
    <col min="16" max="16" width="5.85546875" style="1" bestFit="1" customWidth="1"/>
    <col min="17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L1" s="1" t="s">
        <v>61</v>
      </c>
    </row>
    <row r="2" spans="1:15" x14ac:dyDescent="0.25">
      <c r="A2" s="2">
        <v>0.13822553314191499</v>
      </c>
      <c r="B2" s="2">
        <v>4.6077776510939403E-2</v>
      </c>
      <c r="C2" s="2">
        <v>-5.8925863902731003E-2</v>
      </c>
      <c r="D2" s="2">
        <v>-0.23497939712552299</v>
      </c>
      <c r="E2" s="2">
        <v>0.397993100224172</v>
      </c>
      <c r="F2" s="2"/>
      <c r="G2" s="2"/>
      <c r="H2" s="2"/>
      <c r="I2" s="2"/>
      <c r="J2" s="2"/>
      <c r="K2" s="4" t="s">
        <v>12</v>
      </c>
      <c r="L2" s="2">
        <f>MAX(ABS(A2),ABS(B2),ABS(C2),ABS(D2),ABS(E2),ABS(F2),ABS(G2), ABS(H2), ABS(I2), ABS(J2))</f>
        <v>0.397993100224172</v>
      </c>
      <c r="N2" s="1" t="s">
        <v>62</v>
      </c>
      <c r="O2" s="1">
        <f>oblimin!O2</f>
        <v>0.25</v>
      </c>
    </row>
    <row r="3" spans="1:15" x14ac:dyDescent="0.25">
      <c r="A3" s="2">
        <v>2.05045846571782E-2</v>
      </c>
      <c r="B3" s="2">
        <v>4.6778508407850902E-2</v>
      </c>
      <c r="C3" s="2">
        <v>4.4074914689878703E-2</v>
      </c>
      <c r="D3" s="2">
        <v>-8.5781078500774502E-2</v>
      </c>
      <c r="E3" s="2">
        <v>0.74627635961398997</v>
      </c>
      <c r="F3" s="2"/>
      <c r="G3" s="2"/>
      <c r="H3" s="2"/>
      <c r="I3" s="2"/>
      <c r="J3" s="2"/>
      <c r="K3" s="4" t="s">
        <v>13</v>
      </c>
      <c r="L3" s="2">
        <f t="shared" ref="L3:L50" si="0">MAX(ABS(A3),ABS(B3),ABS(C3),ABS(D3),ABS(E3),ABS(F3),ABS(G3), ABS(H3), ABS(I3), ABS(J3))</f>
        <v>0.74627635961398997</v>
      </c>
      <c r="N3" s="1" t="s">
        <v>10</v>
      </c>
      <c r="O3" s="1">
        <f>O2</f>
        <v>0.25</v>
      </c>
    </row>
    <row r="4" spans="1:15" x14ac:dyDescent="0.25">
      <c r="A4" s="2">
        <v>0.12490031423017101</v>
      </c>
      <c r="B4" s="2">
        <v>-5.08436860557731E-2</v>
      </c>
      <c r="C4" s="2">
        <v>8.6439859934504495E-2</v>
      </c>
      <c r="D4" s="2">
        <v>-0.14905727092254401</v>
      </c>
      <c r="E4" s="2">
        <v>0.612026635196254</v>
      </c>
      <c r="F4" s="2"/>
      <c r="G4" s="2"/>
      <c r="H4" s="2"/>
      <c r="I4" s="2"/>
      <c r="J4" s="2"/>
      <c r="K4" s="4" t="s">
        <v>17</v>
      </c>
      <c r="L4" s="2">
        <f t="shared" si="0"/>
        <v>0.612026635196254</v>
      </c>
      <c r="N4" s="1" t="s">
        <v>11</v>
      </c>
      <c r="O4" s="1">
        <f>O3*-1</f>
        <v>-0.25</v>
      </c>
    </row>
    <row r="5" spans="1:15" x14ac:dyDescent="0.25">
      <c r="A5" s="2">
        <v>9.0206268996231201E-2</v>
      </c>
      <c r="B5" s="2">
        <v>-6.8508558386082302E-2</v>
      </c>
      <c r="C5" s="2">
        <v>4.1526881975277097E-2</v>
      </c>
      <c r="D5" s="2">
        <v>-4.6652355815928602E-2</v>
      </c>
      <c r="E5" s="2">
        <v>0.754315896362734</v>
      </c>
      <c r="F5" s="2"/>
      <c r="G5" s="2"/>
      <c r="H5" s="2"/>
      <c r="I5" s="2"/>
      <c r="J5" s="2"/>
      <c r="K5" s="4" t="s">
        <v>18</v>
      </c>
      <c r="L5" s="2">
        <f t="shared" si="0"/>
        <v>0.754315896362734</v>
      </c>
    </row>
    <row r="6" spans="1:15" x14ac:dyDescent="0.25">
      <c r="A6" s="2">
        <v>0.223195993620318</v>
      </c>
      <c r="B6" s="2">
        <v>0.12234718936663901</v>
      </c>
      <c r="C6" s="2">
        <v>0.101498951974754</v>
      </c>
      <c r="D6" s="2">
        <v>-0.15787066975438699</v>
      </c>
      <c r="E6" s="2">
        <v>0.24063248926887801</v>
      </c>
      <c r="F6" s="2"/>
      <c r="G6" s="2"/>
      <c r="H6" s="2"/>
      <c r="I6" s="2"/>
      <c r="J6" s="2"/>
      <c r="K6" s="4" t="s">
        <v>19</v>
      </c>
      <c r="L6" s="2">
        <f t="shared" si="0"/>
        <v>0.24063248926887801</v>
      </c>
    </row>
    <row r="7" spans="1:15" x14ac:dyDescent="0.25">
      <c r="A7" s="2">
        <v>-8.2605239888323898E-2</v>
      </c>
      <c r="B7" s="2">
        <v>0.294763198871069</v>
      </c>
      <c r="C7" s="2">
        <v>-1.01108224658764E-2</v>
      </c>
      <c r="D7" s="2">
        <v>8.5841853043288306E-3</v>
      </c>
      <c r="E7" s="2">
        <v>0.56676256598766805</v>
      </c>
      <c r="F7" s="2"/>
      <c r="G7" s="2"/>
      <c r="H7" s="2"/>
      <c r="I7" s="2"/>
      <c r="J7" s="2"/>
      <c r="K7" s="4" t="s">
        <v>22</v>
      </c>
      <c r="L7" s="2">
        <f t="shared" si="0"/>
        <v>0.56676256598766805</v>
      </c>
    </row>
    <row r="8" spans="1:15" x14ac:dyDescent="0.25">
      <c r="A8" s="2">
        <v>0.959342055021566</v>
      </c>
      <c r="B8" s="2">
        <v>1.8757353851074798E-2</v>
      </c>
      <c r="C8" s="2">
        <v>-4.4679613913501401E-3</v>
      </c>
      <c r="D8" s="2">
        <v>3.0544894115607402E-2</v>
      </c>
      <c r="E8" s="2">
        <v>6.4904813810817202E-3</v>
      </c>
      <c r="F8" s="2"/>
      <c r="G8" s="2"/>
      <c r="H8" s="2"/>
      <c r="I8" s="2"/>
      <c r="J8" s="2"/>
      <c r="K8" s="4" t="s">
        <v>34</v>
      </c>
      <c r="L8" s="2">
        <f t="shared" si="0"/>
        <v>0.959342055021566</v>
      </c>
    </row>
    <row r="9" spans="1:15" x14ac:dyDescent="0.25">
      <c r="A9" s="2">
        <v>0.85537489427827096</v>
      </c>
      <c r="B9" s="2">
        <v>-6.1524412755945695E-4</v>
      </c>
      <c r="C9" s="2">
        <v>1.5653172549668502E-2</v>
      </c>
      <c r="D9" s="2">
        <v>-3.6633423503295799E-2</v>
      </c>
      <c r="E9" s="2">
        <v>4.4483113430680399E-2</v>
      </c>
      <c r="F9" s="2"/>
      <c r="G9" s="2"/>
      <c r="H9" s="2"/>
      <c r="I9" s="2"/>
      <c r="J9" s="2"/>
      <c r="K9" s="4" t="s">
        <v>37</v>
      </c>
      <c r="L9" s="2">
        <f t="shared" si="0"/>
        <v>0.85537489427827096</v>
      </c>
    </row>
    <row r="10" spans="1:15" x14ac:dyDescent="0.25">
      <c r="A10" s="2">
        <v>0.133481762867209</v>
      </c>
      <c r="B10" s="2">
        <v>0.56619312526354504</v>
      </c>
      <c r="C10" s="2">
        <v>8.8973005029214097E-2</v>
      </c>
      <c r="D10" s="2">
        <v>1.7959726509299501E-2</v>
      </c>
      <c r="E10" s="2">
        <v>2.47681145463713E-2</v>
      </c>
      <c r="F10" s="2"/>
      <c r="G10" s="2"/>
      <c r="H10" s="2"/>
      <c r="I10" s="2"/>
      <c r="J10" s="2"/>
      <c r="K10" s="4" t="s">
        <v>14</v>
      </c>
      <c r="L10" s="2">
        <f t="shared" si="0"/>
        <v>0.56619312526354504</v>
      </c>
    </row>
    <row r="11" spans="1:15" x14ac:dyDescent="0.25">
      <c r="A11" s="2">
        <v>0.98609648633529001</v>
      </c>
      <c r="B11" s="2">
        <v>2.1395681993076499E-2</v>
      </c>
      <c r="C11" s="2">
        <v>-1.12347064070876E-2</v>
      </c>
      <c r="D11" s="2">
        <v>1.2886283437645101E-2</v>
      </c>
      <c r="E11" s="2">
        <v>-1.0598832756964299E-2</v>
      </c>
      <c r="F11" s="2"/>
      <c r="G11" s="2"/>
      <c r="H11" s="2"/>
      <c r="I11" s="2"/>
      <c r="J11" s="2"/>
      <c r="K11" s="4" t="s">
        <v>15</v>
      </c>
      <c r="L11" s="2">
        <f t="shared" si="0"/>
        <v>0.98609648633529001</v>
      </c>
    </row>
    <row r="12" spans="1:15" x14ac:dyDescent="0.25">
      <c r="A12" s="2">
        <v>0.89025385208858099</v>
      </c>
      <c r="B12" s="2">
        <v>-6.1845870897335904E-3</v>
      </c>
      <c r="C12" s="2">
        <v>1.1219139226481101E-2</v>
      </c>
      <c r="D12" s="2">
        <v>-1.0173399511765E-2</v>
      </c>
      <c r="E12" s="2">
        <v>4.0612241448791303E-2</v>
      </c>
      <c r="F12" s="2"/>
      <c r="G12" s="2"/>
      <c r="H12" s="2"/>
      <c r="I12" s="2"/>
      <c r="J12" s="2"/>
      <c r="K12" s="4" t="s">
        <v>24</v>
      </c>
      <c r="L12" s="2">
        <f t="shared" si="0"/>
        <v>0.89025385208858099</v>
      </c>
    </row>
    <row r="13" spans="1:15" x14ac:dyDescent="0.25">
      <c r="A13" s="2">
        <v>0.38168377341028498</v>
      </c>
      <c r="B13" s="2">
        <v>-0.20589423628020201</v>
      </c>
      <c r="C13" s="2">
        <v>0.261376081216394</v>
      </c>
      <c r="D13" s="2">
        <v>-0.16541271471139901</v>
      </c>
      <c r="E13" s="2">
        <v>7.1167531586055405E-2</v>
      </c>
      <c r="F13" s="2"/>
      <c r="G13" s="2"/>
      <c r="H13" s="2"/>
      <c r="I13" s="2"/>
      <c r="J13" s="2"/>
      <c r="K13" s="4" t="s">
        <v>38</v>
      </c>
      <c r="L13" s="2">
        <f t="shared" si="0"/>
        <v>0.38168377341028498</v>
      </c>
    </row>
    <row r="14" spans="1:15" x14ac:dyDescent="0.25">
      <c r="A14" s="2">
        <v>0.35619720383280001</v>
      </c>
      <c r="B14" s="2">
        <v>-0.25749206765954202</v>
      </c>
      <c r="C14" s="2">
        <v>0.25264036168412601</v>
      </c>
      <c r="D14" s="2">
        <v>-0.162995656262647</v>
      </c>
      <c r="E14" s="2">
        <v>3.7088032386751402E-2</v>
      </c>
      <c r="F14" s="2"/>
      <c r="G14" s="2"/>
      <c r="H14" s="2"/>
      <c r="I14" s="2"/>
      <c r="J14" s="2"/>
      <c r="K14" s="4" t="s">
        <v>28</v>
      </c>
      <c r="L14" s="2">
        <f t="shared" si="0"/>
        <v>0.35619720383280001</v>
      </c>
    </row>
    <row r="15" spans="1:15" x14ac:dyDescent="0.25">
      <c r="A15" s="2">
        <v>-0.17274454045771701</v>
      </c>
      <c r="B15" s="2">
        <v>0.68836936865064902</v>
      </c>
      <c r="C15" s="2">
        <v>8.8588410776359705E-2</v>
      </c>
      <c r="D15" s="2">
        <v>1.48624058479038E-2</v>
      </c>
      <c r="E15" s="2">
        <v>0.11639995186309</v>
      </c>
      <c r="F15" s="2"/>
      <c r="G15" s="2"/>
      <c r="H15" s="2"/>
      <c r="I15" s="2"/>
      <c r="J15" s="2"/>
      <c r="K15" s="4" t="s">
        <v>39</v>
      </c>
      <c r="L15" s="2">
        <f t="shared" si="0"/>
        <v>0.68836936865064902</v>
      </c>
    </row>
    <row r="16" spans="1:15" x14ac:dyDescent="0.25">
      <c r="A16" s="2">
        <v>-7.1596988604358897E-2</v>
      </c>
      <c r="B16" s="2">
        <v>0.63343730920540298</v>
      </c>
      <c r="C16" s="2">
        <v>1.5772633477024602E-2</v>
      </c>
      <c r="D16" s="2">
        <v>8.3925510456654001E-2</v>
      </c>
      <c r="E16" s="2">
        <v>0.110462962745808</v>
      </c>
      <c r="F16" s="2"/>
      <c r="G16" s="2"/>
      <c r="H16" s="2"/>
      <c r="I16" s="2"/>
      <c r="J16" s="2"/>
      <c r="K16" s="4" t="s">
        <v>26</v>
      </c>
      <c r="L16" s="2">
        <f t="shared" si="0"/>
        <v>0.63343730920540298</v>
      </c>
    </row>
    <row r="17" spans="1:12" x14ac:dyDescent="0.25">
      <c r="A17" s="2">
        <v>0.25310608251712002</v>
      </c>
      <c r="B17" s="2">
        <v>-0.12612543613169699</v>
      </c>
      <c r="C17" s="2">
        <v>0.129403377994353</v>
      </c>
      <c r="D17" s="2">
        <v>-3.7090168760426402E-2</v>
      </c>
      <c r="E17" s="2">
        <v>0.18896737397800101</v>
      </c>
      <c r="F17" s="2"/>
      <c r="G17" s="2"/>
      <c r="H17" s="2"/>
      <c r="I17" s="2"/>
      <c r="J17" s="2"/>
      <c r="K17" s="4" t="s">
        <v>35</v>
      </c>
      <c r="L17" s="2">
        <f t="shared" si="0"/>
        <v>0.25310608251712002</v>
      </c>
    </row>
    <row r="18" spans="1:12" x14ac:dyDescent="0.25">
      <c r="A18" s="2">
        <v>1.76078498966145E-2</v>
      </c>
      <c r="B18" s="2">
        <v>0.58713611947781497</v>
      </c>
      <c r="C18" s="2">
        <v>0.15953114109276101</v>
      </c>
      <c r="D18" s="2">
        <v>-5.8844538455660601E-2</v>
      </c>
      <c r="E18" s="2">
        <v>-0.108929485900478</v>
      </c>
      <c r="F18" s="2"/>
      <c r="G18" s="2"/>
      <c r="H18" s="2"/>
      <c r="I18" s="2"/>
      <c r="J18" s="2"/>
      <c r="K18" s="4" t="s">
        <v>40</v>
      </c>
      <c r="L18" s="2">
        <f t="shared" si="0"/>
        <v>0.58713611947781497</v>
      </c>
    </row>
    <row r="19" spans="1:12" x14ac:dyDescent="0.25">
      <c r="A19" s="2">
        <v>6.5212225197830098E-2</v>
      </c>
      <c r="B19" s="2">
        <v>-0.12685924556985101</v>
      </c>
      <c r="C19" s="2">
        <v>0.166301809598421</v>
      </c>
      <c r="D19" s="2">
        <v>-0.16635411501836</v>
      </c>
      <c r="E19" s="2">
        <v>9.5838405057816795E-2</v>
      </c>
      <c r="F19" s="2"/>
      <c r="G19" s="2"/>
      <c r="H19" s="2"/>
      <c r="I19" s="2"/>
      <c r="J19" s="2"/>
      <c r="K19" s="4" t="s">
        <v>33</v>
      </c>
      <c r="L19" s="2">
        <f t="shared" si="0"/>
        <v>0.16635411501836</v>
      </c>
    </row>
    <row r="20" spans="1:12" x14ac:dyDescent="0.25">
      <c r="A20" s="2">
        <v>-1.4321026994352001E-2</v>
      </c>
      <c r="B20" s="2">
        <v>0.69145047439093399</v>
      </c>
      <c r="C20" s="2">
        <v>5.1553270280757603E-2</v>
      </c>
      <c r="D20" s="2">
        <v>-1.792394846513E-3</v>
      </c>
      <c r="E20" s="2">
        <v>-0.163702444647224</v>
      </c>
      <c r="F20" s="2"/>
      <c r="G20" s="2"/>
      <c r="H20" s="2"/>
      <c r="I20" s="2"/>
      <c r="J20" s="2"/>
      <c r="K20" s="4" t="s">
        <v>27</v>
      </c>
      <c r="L20" s="2">
        <f t="shared" si="0"/>
        <v>0.69145047439093399</v>
      </c>
    </row>
    <row r="21" spans="1:12" x14ac:dyDescent="0.25">
      <c r="A21" s="2">
        <v>0.497706071316245</v>
      </c>
      <c r="B21" s="2">
        <v>-8.8270877697258499E-2</v>
      </c>
      <c r="C21" s="2">
        <v>7.2790794148638399E-2</v>
      </c>
      <c r="D21" s="2">
        <v>-4.5270477885137099E-2</v>
      </c>
      <c r="E21" s="2">
        <v>0.107794783165073</v>
      </c>
      <c r="F21" s="2"/>
      <c r="G21" s="2"/>
      <c r="H21" s="2"/>
      <c r="I21" s="2"/>
      <c r="J21" s="2"/>
      <c r="K21" s="4" t="s">
        <v>41</v>
      </c>
      <c r="L21" s="2">
        <f t="shared" si="0"/>
        <v>0.497706071316245</v>
      </c>
    </row>
    <row r="22" spans="1:12" x14ac:dyDescent="0.25">
      <c r="A22" s="2">
        <v>9.5508029987331697E-2</v>
      </c>
      <c r="B22" s="2">
        <v>0.75458516560949995</v>
      </c>
      <c r="C22" s="2">
        <v>-3.08130598307883E-2</v>
      </c>
      <c r="D22" s="2">
        <v>1.8289506962452799E-3</v>
      </c>
      <c r="E22" s="2">
        <v>-7.9853525985274801E-2</v>
      </c>
      <c r="F22" s="2"/>
      <c r="G22" s="2"/>
      <c r="H22" s="2"/>
      <c r="I22" s="2"/>
      <c r="J22" s="2"/>
      <c r="K22" s="4" t="s">
        <v>42</v>
      </c>
      <c r="L22" s="2">
        <f t="shared" si="0"/>
        <v>0.75458516560949995</v>
      </c>
    </row>
    <row r="23" spans="1:12" x14ac:dyDescent="0.25">
      <c r="A23" s="2">
        <v>4.54028362558472E-2</v>
      </c>
      <c r="B23" s="2">
        <v>-2.65870675725275E-2</v>
      </c>
      <c r="C23" s="2">
        <v>0.94456483297861904</v>
      </c>
      <c r="D23" s="2">
        <v>-3.9417767677658401E-2</v>
      </c>
      <c r="E23" s="2">
        <v>-3.7017073683657302E-2</v>
      </c>
      <c r="F23" s="2"/>
      <c r="G23" s="2"/>
      <c r="H23" s="2"/>
      <c r="I23" s="2"/>
      <c r="J23" s="2"/>
      <c r="K23" s="4" t="s">
        <v>43</v>
      </c>
      <c r="L23" s="2">
        <f t="shared" si="0"/>
        <v>0.94456483297861904</v>
      </c>
    </row>
    <row r="24" spans="1:12" x14ac:dyDescent="0.25">
      <c r="A24" s="2">
        <v>2.9376723191213198E-2</v>
      </c>
      <c r="B24" s="2">
        <v>-2.2479512758576198E-2</v>
      </c>
      <c r="C24" s="2">
        <v>0.83513538946617805</v>
      </c>
      <c r="D24" s="2">
        <v>8.1498245338304798E-2</v>
      </c>
      <c r="E24" s="2">
        <v>0.113141802142423</v>
      </c>
      <c r="F24" s="2"/>
      <c r="G24" s="2"/>
      <c r="H24" s="2"/>
      <c r="I24" s="2"/>
      <c r="J24" s="2"/>
      <c r="K24" s="4" t="s">
        <v>44</v>
      </c>
      <c r="L24" s="2">
        <f t="shared" si="0"/>
        <v>0.83513538946617805</v>
      </c>
    </row>
    <row r="25" spans="1:12" x14ac:dyDescent="0.25">
      <c r="A25" s="2">
        <v>2.21912235790581E-2</v>
      </c>
      <c r="B25" s="2">
        <v>-3.7929660459339598E-2</v>
      </c>
      <c r="C25" s="2">
        <v>0.91726487612529495</v>
      </c>
      <c r="D25" s="2">
        <v>-8.9728636165769995E-2</v>
      </c>
      <c r="E25" s="2">
        <v>-4.52367772485796E-2</v>
      </c>
      <c r="F25" s="2"/>
      <c r="G25" s="2"/>
      <c r="H25" s="2"/>
      <c r="I25" s="2"/>
      <c r="J25" s="2"/>
      <c r="K25" s="4" t="s">
        <v>45</v>
      </c>
      <c r="L25" s="2">
        <f t="shared" si="0"/>
        <v>0.91726487612529495</v>
      </c>
    </row>
    <row r="26" spans="1:12" x14ac:dyDescent="0.25">
      <c r="A26" s="2">
        <v>-2.58140203313246E-2</v>
      </c>
      <c r="B26" s="2">
        <v>-1.75497710349246E-2</v>
      </c>
      <c r="C26" s="2">
        <v>0.51987401929806099</v>
      </c>
      <c r="D26" s="2">
        <v>-0.105697824504629</v>
      </c>
      <c r="E26" s="2">
        <v>4.5389029820615601E-2</v>
      </c>
      <c r="F26" s="2"/>
      <c r="G26" s="2"/>
      <c r="H26" s="2"/>
      <c r="I26" s="2"/>
      <c r="J26" s="2"/>
      <c r="K26" s="4" t="s">
        <v>30</v>
      </c>
      <c r="L26" s="2">
        <f t="shared" si="0"/>
        <v>0.51987401929806099</v>
      </c>
    </row>
    <row r="27" spans="1:12" x14ac:dyDescent="0.25">
      <c r="A27" s="2">
        <v>2.9478646780055202E-2</v>
      </c>
      <c r="B27" s="2">
        <v>-6.2046286924388003E-2</v>
      </c>
      <c r="C27" s="2">
        <v>0.81902402605517</v>
      </c>
      <c r="D27" s="2">
        <v>5.1378453164179903E-2</v>
      </c>
      <c r="E27" s="2">
        <v>0.119675621780402</v>
      </c>
      <c r="F27" s="2"/>
      <c r="G27" s="2"/>
      <c r="H27" s="2"/>
      <c r="I27" s="2"/>
      <c r="J27" s="2"/>
      <c r="K27" s="4" t="s">
        <v>31</v>
      </c>
      <c r="L27" s="2">
        <f t="shared" si="0"/>
        <v>0.81902402605517</v>
      </c>
    </row>
    <row r="28" spans="1:12" x14ac:dyDescent="0.25">
      <c r="A28" s="2">
        <v>-8.7137312651819496E-2</v>
      </c>
      <c r="B28" s="2">
        <v>0.32792006414811797</v>
      </c>
      <c r="C28" s="2">
        <v>0.750220159589288</v>
      </c>
      <c r="D28" s="2">
        <v>-1.5919484153554399E-2</v>
      </c>
      <c r="E28" s="2">
        <v>-3.6791152324903299E-2</v>
      </c>
      <c r="F28" s="2"/>
      <c r="G28" s="2"/>
      <c r="H28" s="2"/>
      <c r="I28" s="2"/>
      <c r="J28" s="2"/>
      <c r="K28" s="4" t="s">
        <v>21</v>
      </c>
      <c r="L28" s="2">
        <f t="shared" si="0"/>
        <v>0.750220159589288</v>
      </c>
    </row>
    <row r="29" spans="1:12" x14ac:dyDescent="0.25">
      <c r="A29" s="2">
        <v>7.0543508451192005E-2</v>
      </c>
      <c r="B29" s="2">
        <v>6.04988762849911E-2</v>
      </c>
      <c r="C29" s="2">
        <v>0.32570433959017198</v>
      </c>
      <c r="D29" s="2">
        <v>-0.13288731058988901</v>
      </c>
      <c r="E29" s="2">
        <v>0.19206902522330399</v>
      </c>
      <c r="F29" s="2"/>
      <c r="G29" s="2"/>
      <c r="H29" s="2"/>
      <c r="I29" s="2"/>
      <c r="J29" s="2"/>
      <c r="K29" s="4" t="s">
        <v>46</v>
      </c>
      <c r="L29" s="2">
        <f t="shared" si="0"/>
        <v>0.32570433959017198</v>
      </c>
    </row>
    <row r="30" spans="1:12" x14ac:dyDescent="0.25">
      <c r="A30" s="2">
        <v>-0.156238268782462</v>
      </c>
      <c r="B30" s="2">
        <v>0.54472491376738197</v>
      </c>
      <c r="C30" s="2">
        <v>0.22620875165124801</v>
      </c>
      <c r="D30" s="2">
        <v>2.3543325053468501E-2</v>
      </c>
      <c r="E30" s="2">
        <v>0.152693952214425</v>
      </c>
      <c r="F30" s="2"/>
      <c r="G30" s="2"/>
      <c r="H30" s="2"/>
      <c r="I30" s="2"/>
      <c r="J30" s="2"/>
      <c r="K30" s="4" t="s">
        <v>25</v>
      </c>
      <c r="L30" s="2">
        <f t="shared" si="0"/>
        <v>0.54472491376738197</v>
      </c>
    </row>
    <row r="31" spans="1:12" x14ac:dyDescent="0.25">
      <c r="A31" s="2">
        <v>-8.5900212144111204E-4</v>
      </c>
      <c r="B31" s="2">
        <v>6.0904302201123299E-2</v>
      </c>
      <c r="C31" s="2">
        <v>0.44172947978015498</v>
      </c>
      <c r="D31" s="2">
        <v>-5.6232730054660097E-2</v>
      </c>
      <c r="E31" s="2">
        <v>0.18452382856545199</v>
      </c>
      <c r="F31" s="2"/>
      <c r="G31" s="2"/>
      <c r="H31" s="2"/>
      <c r="I31" s="2"/>
      <c r="J31" s="2"/>
      <c r="K31" s="4" t="s">
        <v>47</v>
      </c>
      <c r="L31" s="2">
        <f t="shared" si="0"/>
        <v>0.44172947978015498</v>
      </c>
    </row>
    <row r="32" spans="1:12" x14ac:dyDescent="0.25">
      <c r="A32" s="2">
        <v>0.35233505234822599</v>
      </c>
      <c r="B32" s="2">
        <v>0.11389335807102401</v>
      </c>
      <c r="C32" s="2">
        <v>0.148176633658407</v>
      </c>
      <c r="D32" s="2">
        <v>-0.33984606160258302</v>
      </c>
      <c r="E32" s="2">
        <v>9.7321198350862302E-3</v>
      </c>
      <c r="F32" s="2"/>
      <c r="G32" s="2"/>
      <c r="H32" s="2"/>
      <c r="I32" s="2"/>
      <c r="J32" s="2"/>
      <c r="K32" s="4" t="s">
        <v>16</v>
      </c>
      <c r="L32" s="2">
        <f t="shared" si="0"/>
        <v>0.35233505234822599</v>
      </c>
    </row>
    <row r="33" spans="1:12" x14ac:dyDescent="0.25">
      <c r="A33" s="2">
        <v>0.214591879984458</v>
      </c>
      <c r="B33" s="2">
        <v>0.19443620143460599</v>
      </c>
      <c r="C33" s="2">
        <v>0.280385826088764</v>
      </c>
      <c r="D33" s="2">
        <v>-0.26120097845643497</v>
      </c>
      <c r="E33" s="2">
        <v>0.113441466630129</v>
      </c>
      <c r="F33" s="2"/>
      <c r="G33" s="2"/>
      <c r="H33" s="2"/>
      <c r="I33" s="2"/>
      <c r="J33" s="2"/>
      <c r="K33" s="4" t="s">
        <v>23</v>
      </c>
      <c r="L33" s="2">
        <f t="shared" si="0"/>
        <v>0.280385826088764</v>
      </c>
    </row>
    <row r="34" spans="1:12" x14ac:dyDescent="0.25">
      <c r="A34" s="2">
        <v>0.18542220837656101</v>
      </c>
      <c r="B34" s="2">
        <v>9.14845564449457E-2</v>
      </c>
      <c r="C34" s="2">
        <v>7.8879415544648904E-2</v>
      </c>
      <c r="D34" s="2">
        <v>-0.48402347932071699</v>
      </c>
      <c r="E34" s="2">
        <v>-5.4673832633178598E-2</v>
      </c>
      <c r="F34" s="2"/>
      <c r="G34" s="2"/>
      <c r="H34" s="2"/>
      <c r="I34" s="2"/>
      <c r="J34" s="2"/>
      <c r="K34" s="4" t="s">
        <v>48</v>
      </c>
      <c r="L34" s="2">
        <f t="shared" si="0"/>
        <v>0.48402347932071699</v>
      </c>
    </row>
    <row r="35" spans="1:12" x14ac:dyDescent="0.25">
      <c r="A35" s="2">
        <v>-3.0072002316464602E-2</v>
      </c>
      <c r="B35" s="2">
        <v>0.50367465281129997</v>
      </c>
      <c r="C35" s="2">
        <v>-7.8427001611180699E-2</v>
      </c>
      <c r="D35" s="2">
        <v>-0.24819516357671501</v>
      </c>
      <c r="E35" s="2">
        <v>-7.4592050326350495E-2</v>
      </c>
      <c r="F35" s="2"/>
      <c r="G35" s="2"/>
      <c r="H35" s="2"/>
      <c r="I35" s="2"/>
      <c r="J35" s="2"/>
      <c r="K35" s="4" t="s">
        <v>49</v>
      </c>
      <c r="L35" s="2">
        <f t="shared" si="0"/>
        <v>0.50367465281129997</v>
      </c>
    </row>
    <row r="36" spans="1:12" x14ac:dyDescent="0.25">
      <c r="A36" s="2">
        <v>0.13669733605953799</v>
      </c>
      <c r="B36" s="2">
        <v>2.1718298528499401E-2</v>
      </c>
      <c r="C36" s="2">
        <v>4.2396633831841099E-2</v>
      </c>
      <c r="D36" s="2">
        <v>-0.75598609080101797</v>
      </c>
      <c r="E36" s="2">
        <v>1.9989176636326499E-2</v>
      </c>
      <c r="F36" s="2"/>
      <c r="G36" s="2"/>
      <c r="H36" s="2"/>
      <c r="I36" s="2"/>
      <c r="J36" s="2"/>
      <c r="K36" s="4" t="s">
        <v>36</v>
      </c>
      <c r="L36" s="2">
        <f t="shared" si="0"/>
        <v>0.75598609080101797</v>
      </c>
    </row>
    <row r="37" spans="1:12" x14ac:dyDescent="0.25">
      <c r="A37" s="2">
        <v>0.137225821766361</v>
      </c>
      <c r="B37" s="2">
        <v>5.4050412683033702E-3</v>
      </c>
      <c r="C37" s="2">
        <v>-4.52241005441597E-2</v>
      </c>
      <c r="D37" s="2">
        <v>-0.61310458751980301</v>
      </c>
      <c r="E37" s="2">
        <v>5.7700706523320502E-2</v>
      </c>
      <c r="F37" s="2"/>
      <c r="G37" s="2"/>
      <c r="H37" s="2"/>
      <c r="I37" s="2"/>
      <c r="J37" s="2"/>
      <c r="K37" s="4" t="s">
        <v>50</v>
      </c>
      <c r="L37" s="2">
        <f t="shared" si="0"/>
        <v>0.61310458751980301</v>
      </c>
    </row>
    <row r="38" spans="1:12" x14ac:dyDescent="0.25">
      <c r="A38" s="2">
        <v>2.2033514873748099E-2</v>
      </c>
      <c r="B38" s="2">
        <v>-9.7396124687344592E-3</v>
      </c>
      <c r="C38" s="2">
        <v>-6.9018908096521794E-2</v>
      </c>
      <c r="D38" s="2">
        <v>-0.86414787396239801</v>
      </c>
      <c r="E38" s="2">
        <v>8.0397383275659595E-2</v>
      </c>
      <c r="F38" s="2"/>
      <c r="G38" s="2"/>
      <c r="H38" s="2"/>
      <c r="I38" s="2"/>
      <c r="J38" s="2"/>
      <c r="K38" s="4" t="s">
        <v>51</v>
      </c>
      <c r="L38" s="2">
        <f t="shared" si="0"/>
        <v>0.86414787396239801</v>
      </c>
    </row>
    <row r="39" spans="1:12" x14ac:dyDescent="0.25">
      <c r="A39" s="2">
        <v>-9.2922416661474397E-2</v>
      </c>
      <c r="B39" s="2">
        <v>-4.4592887970664102E-2</v>
      </c>
      <c r="C39" s="2">
        <v>3.8912640412098499E-2</v>
      </c>
      <c r="D39" s="2">
        <v>-0.89341047596689505</v>
      </c>
      <c r="E39" s="2">
        <v>1.09751651569613E-2</v>
      </c>
      <c r="F39" s="2"/>
      <c r="G39" s="2"/>
      <c r="H39" s="2"/>
      <c r="I39" s="2"/>
      <c r="J39" s="2"/>
      <c r="K39" s="4" t="s">
        <v>20</v>
      </c>
      <c r="L39" s="2">
        <f t="shared" si="0"/>
        <v>0.89341047596689505</v>
      </c>
    </row>
    <row r="40" spans="1:12" x14ac:dyDescent="0.25">
      <c r="A40" s="2">
        <v>-3.1671681373965102E-2</v>
      </c>
      <c r="B40" s="2">
        <v>-7.5090373692763297E-3</v>
      </c>
      <c r="C40" s="2">
        <v>-3.0100933549334598E-2</v>
      </c>
      <c r="D40" s="2">
        <v>-0.90886445380557901</v>
      </c>
      <c r="E40" s="2">
        <v>4.8583007967327202E-2</v>
      </c>
      <c r="F40" s="2"/>
      <c r="G40" s="2"/>
      <c r="H40" s="2"/>
      <c r="I40" s="2"/>
      <c r="J40" s="2"/>
      <c r="K40" s="4" t="s">
        <v>52</v>
      </c>
      <c r="L40" s="2">
        <f t="shared" si="0"/>
        <v>0.90886445380557901</v>
      </c>
    </row>
    <row r="41" spans="1:12" x14ac:dyDescent="0.25">
      <c r="A41" s="2">
        <v>0.22272194870126699</v>
      </c>
      <c r="B41" s="2">
        <v>0.47205641417326999</v>
      </c>
      <c r="C41" s="2">
        <v>2.5455935501206301E-3</v>
      </c>
      <c r="D41" s="2">
        <v>-0.1682590093313</v>
      </c>
      <c r="E41" s="2">
        <v>-1.16771135483293E-4</v>
      </c>
      <c r="F41" s="2"/>
      <c r="G41" s="2"/>
      <c r="H41" s="2"/>
      <c r="I41" s="2"/>
      <c r="J41" s="2"/>
      <c r="K41" s="4" t="s">
        <v>53</v>
      </c>
      <c r="L41" s="2">
        <f t="shared" si="0"/>
        <v>0.47205641417326999</v>
      </c>
    </row>
    <row r="42" spans="1:12" x14ac:dyDescent="0.25">
      <c r="A42" s="2">
        <v>0.105977552505912</v>
      </c>
      <c r="B42" s="2">
        <v>0.46868307846076601</v>
      </c>
      <c r="C42" s="2">
        <v>0.27898328931146099</v>
      </c>
      <c r="D42" s="2">
        <v>-0.15154437518599501</v>
      </c>
      <c r="E42" s="2">
        <v>-3.6204376077167998E-2</v>
      </c>
      <c r="F42" s="2"/>
      <c r="G42" s="2"/>
      <c r="H42" s="2"/>
      <c r="I42" s="2"/>
      <c r="J42" s="2"/>
      <c r="K42" s="4" t="s">
        <v>54</v>
      </c>
      <c r="L42" s="2">
        <f t="shared" si="0"/>
        <v>0.46868307846076601</v>
      </c>
    </row>
    <row r="43" spans="1:12" x14ac:dyDescent="0.25">
      <c r="A43" s="2">
        <v>-4.9127162542966004E-3</v>
      </c>
      <c r="B43" s="2">
        <v>0.59984918019934697</v>
      </c>
      <c r="C43" s="2">
        <v>-7.9949884979911207E-2</v>
      </c>
      <c r="D43" s="2">
        <v>8.8985385315704102E-2</v>
      </c>
      <c r="E43" s="2">
        <v>0.18859748157027501</v>
      </c>
      <c r="F43" s="2"/>
      <c r="G43" s="2"/>
      <c r="H43" s="2"/>
      <c r="I43" s="2"/>
      <c r="J43" s="2"/>
      <c r="K43" s="4" t="s">
        <v>29</v>
      </c>
      <c r="L43" s="2">
        <f t="shared" si="0"/>
        <v>0.59984918019934697</v>
      </c>
    </row>
    <row r="44" spans="1:12" x14ac:dyDescent="0.25">
      <c r="A44" s="2">
        <v>4.6393270439413901E-2</v>
      </c>
      <c r="B44" s="2">
        <v>0.56636903073750999</v>
      </c>
      <c r="C44" s="2">
        <v>-3.5942703611449398E-2</v>
      </c>
      <c r="D44" s="2">
        <v>-6.5912195003238597E-2</v>
      </c>
      <c r="E44" s="2">
        <v>0.178713919331942</v>
      </c>
      <c r="F44" s="2"/>
      <c r="G44" s="2"/>
      <c r="H44" s="2"/>
      <c r="I44" s="2"/>
      <c r="J44" s="2"/>
      <c r="K44" s="4" t="s">
        <v>55</v>
      </c>
      <c r="L44" s="2">
        <f t="shared" si="0"/>
        <v>0.56636903073750999</v>
      </c>
    </row>
    <row r="45" spans="1:12" x14ac:dyDescent="0.25">
      <c r="A45" s="2">
        <v>-4.57557570308672E-3</v>
      </c>
      <c r="B45" s="2">
        <v>0.63178665679246504</v>
      </c>
      <c r="C45" s="2">
        <v>-5.91572868598731E-2</v>
      </c>
      <c r="D45" s="2">
        <v>-4.7301371091523298E-2</v>
      </c>
      <c r="E45" s="2">
        <v>5.4364759702997803E-3</v>
      </c>
      <c r="F45" s="2"/>
      <c r="G45" s="2"/>
      <c r="H45" s="2"/>
      <c r="I45" s="2"/>
      <c r="J45" s="2"/>
      <c r="K45" s="4" t="s">
        <v>56</v>
      </c>
      <c r="L45" s="2">
        <f t="shared" si="0"/>
        <v>0.63178665679246504</v>
      </c>
    </row>
    <row r="46" spans="1:12" x14ac:dyDescent="0.25">
      <c r="A46" s="2">
        <v>5.6612719852540003E-2</v>
      </c>
      <c r="B46" s="2">
        <v>0.23667206220329501</v>
      </c>
      <c r="C46" s="2">
        <v>0.19607374012555601</v>
      </c>
      <c r="D46" s="2">
        <v>-0.30426606118320498</v>
      </c>
      <c r="E46" s="2">
        <v>0.12159308465372699</v>
      </c>
      <c r="F46" s="2"/>
      <c r="G46" s="2"/>
      <c r="H46" s="2"/>
      <c r="I46" s="2"/>
      <c r="J46" s="2"/>
      <c r="K46" s="4" t="s">
        <v>57</v>
      </c>
      <c r="L46" s="2">
        <f t="shared" si="0"/>
        <v>0.30426606118320498</v>
      </c>
    </row>
    <row r="47" spans="1:12" x14ac:dyDescent="0.25">
      <c r="A47" s="2">
        <v>0.27183953280057099</v>
      </c>
      <c r="B47" s="2">
        <v>0.22848325074756201</v>
      </c>
      <c r="C47" s="2">
        <v>4.8789066904787001E-2</v>
      </c>
      <c r="D47" s="2">
        <v>-0.36352936887070098</v>
      </c>
      <c r="E47" s="2">
        <v>7.7871478393364502E-2</v>
      </c>
      <c r="F47" s="2"/>
      <c r="G47" s="2"/>
      <c r="H47" s="2"/>
      <c r="I47" s="2"/>
      <c r="J47" s="2"/>
      <c r="K47" s="4" t="s">
        <v>58</v>
      </c>
      <c r="L47" s="2">
        <f t="shared" si="0"/>
        <v>0.36352936887070098</v>
      </c>
    </row>
    <row r="48" spans="1:12" x14ac:dyDescent="0.25">
      <c r="A48" s="2">
        <v>-5.6481378038718499E-2</v>
      </c>
      <c r="B48" s="2">
        <v>1.20079769178264E-2</v>
      </c>
      <c r="C48" s="2">
        <v>0.12513305331785701</v>
      </c>
      <c r="D48" s="2">
        <v>-0.74683617236862698</v>
      </c>
      <c r="E48" s="2">
        <v>-3.1595311642447999E-2</v>
      </c>
      <c r="F48" s="2"/>
      <c r="G48" s="2"/>
      <c r="H48" s="2"/>
      <c r="I48" s="2"/>
      <c r="J48" s="2"/>
      <c r="K48" s="4" t="s">
        <v>32</v>
      </c>
      <c r="L48" s="2">
        <f t="shared" si="0"/>
        <v>0.74683617236862698</v>
      </c>
    </row>
    <row r="49" spans="1:12" x14ac:dyDescent="0.25">
      <c r="A49" s="2">
        <v>6.6211631253554906E-2</v>
      </c>
      <c r="B49" s="2">
        <v>0.65139945900621499</v>
      </c>
      <c r="C49" s="2">
        <v>-0.160556185801667</v>
      </c>
      <c r="D49" s="2">
        <v>4.8283902333046302E-2</v>
      </c>
      <c r="E49" s="2">
        <v>7.0283940161448802E-2</v>
      </c>
      <c r="F49" s="2"/>
      <c r="G49" s="2"/>
      <c r="H49" s="2"/>
      <c r="I49" s="2"/>
      <c r="J49" s="2"/>
      <c r="K49" s="4" t="s">
        <v>59</v>
      </c>
      <c r="L49" s="2">
        <f t="shared" si="0"/>
        <v>0.65139945900621499</v>
      </c>
    </row>
    <row r="50" spans="1:12" x14ac:dyDescent="0.25">
      <c r="A50" s="2">
        <v>0.19529024165832301</v>
      </c>
      <c r="B50" s="2">
        <v>4.7884622177681899E-2</v>
      </c>
      <c r="C50" s="2">
        <v>0.12986360420474799</v>
      </c>
      <c r="D50" s="2">
        <v>-9.3867302799089003E-2</v>
      </c>
      <c r="E50" s="2">
        <v>0.25117918120452998</v>
      </c>
      <c r="F50" s="2"/>
      <c r="G50" s="2"/>
      <c r="H50" s="2"/>
      <c r="I50" s="2"/>
      <c r="J50" s="2"/>
      <c r="K50" s="4" t="s">
        <v>60</v>
      </c>
      <c r="L50" s="2">
        <f t="shared" si="0"/>
        <v>0.25117918120452998</v>
      </c>
    </row>
  </sheetData>
  <conditionalFormatting sqref="L2:L50">
    <cfRule type="cellIs" dxfId="11" priority="3" operator="lessThan">
      <formula>$O$2</formula>
    </cfRule>
  </conditionalFormatting>
  <conditionalFormatting sqref="A2:J50">
    <cfRule type="cellIs" dxfId="9" priority="1" operator="lessThan">
      <formula>$O$4</formula>
    </cfRule>
    <cfRule type="cellIs" dxfId="8" priority="2" operator="greaterThan">
      <formula>$O$3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zoomScale="85" zoomScaleNormal="85" workbookViewId="0">
      <selection activeCell="O2" sqref="O2"/>
    </sheetView>
  </sheetViews>
  <sheetFormatPr defaultRowHeight="15" x14ac:dyDescent="0.25"/>
  <cols>
    <col min="1" max="10" width="7" style="1" customWidth="1"/>
    <col min="11" max="11" width="11.5703125" style="3" customWidth="1"/>
    <col min="12" max="12" width="6" style="1" customWidth="1"/>
    <col min="13" max="14" width="9.140625" style="1"/>
    <col min="15" max="15" width="7.7109375" style="1" bestFit="1" customWidth="1"/>
    <col min="16" max="16" width="5.85546875" style="1" bestFit="1" customWidth="1"/>
    <col min="17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L1" s="1" t="s">
        <v>61</v>
      </c>
    </row>
    <row r="2" spans="1:15" x14ac:dyDescent="0.25">
      <c r="A2" s="2">
        <v>0.20708290049581601</v>
      </c>
      <c r="B2" s="2">
        <v>0.124347878079989</v>
      </c>
      <c r="C2" s="2">
        <v>-5.9352699913632297E-2</v>
      </c>
      <c r="D2" s="2">
        <v>-0.41851987906854898</v>
      </c>
      <c r="E2" s="2"/>
      <c r="F2" s="2"/>
      <c r="G2" s="2"/>
      <c r="H2" s="2"/>
      <c r="I2" s="2"/>
      <c r="J2" s="2"/>
      <c r="K2" s="4" t="s">
        <v>12</v>
      </c>
      <c r="L2" s="2">
        <f>MAX(ABS(A2),ABS(B2),ABS(C2),ABS(D2),ABS(E2),ABS(F2),ABS(G2), ABS(H2), ABS(I2), ABS(J2))</f>
        <v>0.41851987906854898</v>
      </c>
      <c r="N2" s="1" t="s">
        <v>62</v>
      </c>
      <c r="O2" s="1">
        <f>oblimin!O2</f>
        <v>0.25</v>
      </c>
    </row>
    <row r="3" spans="1:15" x14ac:dyDescent="0.25">
      <c r="A3" s="2">
        <v>0.15964098208994501</v>
      </c>
      <c r="B3" s="2">
        <v>0.19631454974413601</v>
      </c>
      <c r="C3" s="2">
        <v>4.6510121834125E-2</v>
      </c>
      <c r="D3" s="2">
        <v>-0.41850324802219702</v>
      </c>
      <c r="E3" s="2"/>
      <c r="F3" s="2"/>
      <c r="G3" s="2"/>
      <c r="H3" s="2"/>
      <c r="I3" s="2"/>
      <c r="J3" s="2"/>
      <c r="K3" s="4" t="s">
        <v>13</v>
      </c>
      <c r="L3" s="2">
        <f t="shared" ref="L3:L50" si="0">MAX(ABS(A3),ABS(B3),ABS(C3),ABS(D3),ABS(E3),ABS(F3),ABS(G3), ABS(H3), ABS(I3), ABS(J3))</f>
        <v>0.41850324802219702</v>
      </c>
      <c r="N3" s="1" t="s">
        <v>10</v>
      </c>
      <c r="O3" s="1">
        <f>O2</f>
        <v>0.25</v>
      </c>
    </row>
    <row r="4" spans="1:15" x14ac:dyDescent="0.25">
      <c r="A4" s="2">
        <v>0.239076319217744</v>
      </c>
      <c r="B4" s="2">
        <v>7.2322771507784295E-2</v>
      </c>
      <c r="C4" s="2">
        <v>8.9401943021464994E-2</v>
      </c>
      <c r="D4" s="2">
        <v>-0.42160488471671997</v>
      </c>
      <c r="E4" s="2"/>
      <c r="F4" s="2"/>
      <c r="G4" s="2"/>
      <c r="H4" s="2"/>
      <c r="I4" s="2"/>
      <c r="J4" s="2"/>
      <c r="K4" s="4" t="s">
        <v>17</v>
      </c>
      <c r="L4" s="2">
        <f t="shared" si="0"/>
        <v>0.42160488471671997</v>
      </c>
      <c r="N4" s="1" t="s">
        <v>11</v>
      </c>
      <c r="O4" s="1">
        <f>O3*-1</f>
        <v>-0.25</v>
      </c>
    </row>
    <row r="5" spans="1:15" x14ac:dyDescent="0.25">
      <c r="A5" s="2">
        <v>0.232831547415247</v>
      </c>
      <c r="B5" s="2">
        <v>8.7856658569238896E-2</v>
      </c>
      <c r="C5" s="2">
        <v>4.2611145194983401E-2</v>
      </c>
      <c r="D5" s="2">
        <v>-0.38659253829553503</v>
      </c>
      <c r="E5" s="2"/>
      <c r="F5" s="2"/>
      <c r="G5" s="2"/>
      <c r="H5" s="2"/>
      <c r="I5" s="2"/>
      <c r="J5" s="2"/>
      <c r="K5" s="4" t="s">
        <v>18</v>
      </c>
      <c r="L5" s="2">
        <f t="shared" si="0"/>
        <v>0.38659253829553503</v>
      </c>
    </row>
    <row r="6" spans="1:15" x14ac:dyDescent="0.25">
      <c r="A6" s="2">
        <v>0.26302474393943098</v>
      </c>
      <c r="B6" s="2">
        <v>0.16619937124282599</v>
      </c>
      <c r="C6" s="2">
        <v>0.103028114600878</v>
      </c>
      <c r="D6" s="2">
        <v>-0.26197289567075699</v>
      </c>
      <c r="E6" s="2"/>
      <c r="F6" s="2"/>
      <c r="G6" s="2"/>
      <c r="H6" s="2"/>
      <c r="I6" s="2"/>
      <c r="J6" s="2"/>
      <c r="K6" s="4" t="s">
        <v>19</v>
      </c>
      <c r="L6" s="2">
        <f t="shared" si="0"/>
        <v>0.26302474393943098</v>
      </c>
    </row>
    <row r="7" spans="1:15" x14ac:dyDescent="0.25">
      <c r="A7" s="2">
        <v>1.71587666098931E-2</v>
      </c>
      <c r="B7" s="2">
        <v>0.40904619073037501</v>
      </c>
      <c r="C7" s="2">
        <v>-1.29368868413621E-2</v>
      </c>
      <c r="D7" s="2">
        <v>-0.24745134121638801</v>
      </c>
      <c r="E7" s="2"/>
      <c r="F7" s="2"/>
      <c r="G7" s="2"/>
      <c r="H7" s="2"/>
      <c r="I7" s="2"/>
      <c r="J7" s="2"/>
      <c r="K7" s="4" t="s">
        <v>22</v>
      </c>
      <c r="L7" s="2">
        <f t="shared" si="0"/>
        <v>0.40904619073037501</v>
      </c>
    </row>
    <row r="8" spans="1:15" x14ac:dyDescent="0.25">
      <c r="A8" s="2">
        <v>0.96422916697114502</v>
      </c>
      <c r="B8" s="2">
        <v>8.0114810018235005E-3</v>
      </c>
      <c r="C8" s="2">
        <v>-2.00266825681784E-3</v>
      </c>
      <c r="D8" s="2">
        <v>3.7483483126502203E-2</v>
      </c>
      <c r="E8" s="2"/>
      <c r="F8" s="2"/>
      <c r="G8" s="2"/>
      <c r="H8" s="2"/>
      <c r="I8" s="2"/>
      <c r="J8" s="2"/>
      <c r="K8" s="4" t="s">
        <v>34</v>
      </c>
      <c r="L8" s="2">
        <f t="shared" si="0"/>
        <v>0.96422916697114502</v>
      </c>
    </row>
    <row r="9" spans="1:15" x14ac:dyDescent="0.25">
      <c r="A9" s="2">
        <v>0.86874064879576596</v>
      </c>
      <c r="B9" s="2">
        <v>-2.2111841554739902E-3</v>
      </c>
      <c r="C9" s="2">
        <v>1.7472250812924101E-2</v>
      </c>
      <c r="D9" s="2">
        <v>-4.7609849125661297E-2</v>
      </c>
      <c r="E9" s="2"/>
      <c r="F9" s="2"/>
      <c r="G9" s="2"/>
      <c r="H9" s="2"/>
      <c r="I9" s="2"/>
      <c r="J9" s="2"/>
      <c r="K9" s="4" t="s">
        <v>37</v>
      </c>
      <c r="L9" s="2">
        <f t="shared" si="0"/>
        <v>0.86874064879576596</v>
      </c>
    </row>
    <row r="10" spans="1:15" x14ac:dyDescent="0.25">
      <c r="A10" s="2">
        <v>0.129940449800555</v>
      </c>
      <c r="B10" s="2">
        <v>0.56925986346095203</v>
      </c>
      <c r="C10" s="2">
        <v>8.7995744426806702E-2</v>
      </c>
      <c r="D10" s="2">
        <v>2.5205962950178101E-2</v>
      </c>
      <c r="E10" s="2"/>
      <c r="F10" s="2"/>
      <c r="G10" s="2"/>
      <c r="H10" s="2"/>
      <c r="I10" s="2"/>
      <c r="J10" s="2"/>
      <c r="K10" s="4" t="s">
        <v>14</v>
      </c>
      <c r="L10" s="2">
        <f t="shared" si="0"/>
        <v>0.56925986346095203</v>
      </c>
    </row>
    <row r="11" spans="1:15" x14ac:dyDescent="0.25">
      <c r="A11" s="2">
        <v>0.98547164778059804</v>
      </c>
      <c r="B11" s="2">
        <v>5.6287691968422799E-3</v>
      </c>
      <c r="C11" s="2">
        <v>-8.2368115977798102E-3</v>
      </c>
      <c r="D11" s="2">
        <v>2.6453042704874301E-2</v>
      </c>
      <c r="E11" s="2"/>
      <c r="F11" s="2"/>
      <c r="G11" s="2"/>
      <c r="H11" s="2"/>
      <c r="I11" s="2"/>
      <c r="J11" s="2"/>
      <c r="K11" s="4" t="s">
        <v>15</v>
      </c>
      <c r="L11" s="2">
        <f t="shared" si="0"/>
        <v>0.98547164778059804</v>
      </c>
    </row>
    <row r="12" spans="1:15" x14ac:dyDescent="0.25">
      <c r="A12" s="2">
        <v>0.90320474916813698</v>
      </c>
      <c r="B12" s="2">
        <v>-9.0204162621344008E-3</v>
      </c>
      <c r="C12" s="2">
        <v>1.2965777843146399E-2</v>
      </c>
      <c r="D12" s="2">
        <v>-1.9598679193090301E-2</v>
      </c>
      <c r="E12" s="2"/>
      <c r="F12" s="2"/>
      <c r="G12" s="2"/>
      <c r="H12" s="2"/>
      <c r="I12" s="2"/>
      <c r="J12" s="2"/>
      <c r="K12" s="4" t="s">
        <v>24</v>
      </c>
      <c r="L12" s="2">
        <f t="shared" si="0"/>
        <v>0.90320474916813698</v>
      </c>
    </row>
    <row r="13" spans="1:15" x14ac:dyDescent="0.25">
      <c r="A13" s="2">
        <v>0.39381849933721602</v>
      </c>
      <c r="B13" s="2">
        <v>-0.20301043004620301</v>
      </c>
      <c r="C13" s="2">
        <v>0.265444649728866</v>
      </c>
      <c r="D13" s="2">
        <v>-0.20067318051171901</v>
      </c>
      <c r="E13" s="2"/>
      <c r="F13" s="2"/>
      <c r="G13" s="2"/>
      <c r="H13" s="2"/>
      <c r="I13" s="2"/>
      <c r="J13" s="2"/>
      <c r="K13" s="4" t="s">
        <v>38</v>
      </c>
      <c r="L13" s="2">
        <f t="shared" si="0"/>
        <v>0.39381849933721602</v>
      </c>
    </row>
    <row r="14" spans="1:15" x14ac:dyDescent="0.25">
      <c r="A14" s="2">
        <v>0.36235455134241901</v>
      </c>
      <c r="B14" s="2">
        <v>-0.26242658815564701</v>
      </c>
      <c r="C14" s="2">
        <v>0.25740802631777698</v>
      </c>
      <c r="D14" s="2">
        <v>-0.18420390890295299</v>
      </c>
      <c r="E14" s="2"/>
      <c r="F14" s="2"/>
      <c r="G14" s="2"/>
      <c r="H14" s="2"/>
      <c r="I14" s="2"/>
      <c r="J14" s="2"/>
      <c r="K14" s="4" t="s">
        <v>28</v>
      </c>
      <c r="L14" s="2">
        <f t="shared" si="0"/>
        <v>0.36235455134241901</v>
      </c>
    </row>
    <row r="15" spans="1:15" x14ac:dyDescent="0.25">
      <c r="A15" s="2">
        <v>-0.16263656170608201</v>
      </c>
      <c r="B15" s="2">
        <v>0.71960857157576996</v>
      </c>
      <c r="C15" s="2">
        <v>8.5834645466353193E-2</v>
      </c>
      <c r="D15" s="2">
        <v>-1.8258308128687901E-2</v>
      </c>
      <c r="E15" s="2"/>
      <c r="F15" s="2"/>
      <c r="G15" s="2"/>
      <c r="H15" s="2"/>
      <c r="I15" s="2"/>
      <c r="J15" s="2"/>
      <c r="K15" s="4" t="s">
        <v>39</v>
      </c>
      <c r="L15" s="2">
        <f t="shared" si="0"/>
        <v>0.71960857157576996</v>
      </c>
    </row>
    <row r="16" spans="1:15" x14ac:dyDescent="0.25">
      <c r="A16" s="2">
        <v>-5.8986598795265799E-2</v>
      </c>
      <c r="B16" s="2">
        <v>0.66291663022250402</v>
      </c>
      <c r="C16" s="2">
        <v>1.15675876050765E-2</v>
      </c>
      <c r="D16" s="2">
        <v>5.1267546376433701E-2</v>
      </c>
      <c r="E16" s="2"/>
      <c r="F16" s="2"/>
      <c r="G16" s="2"/>
      <c r="H16" s="2"/>
      <c r="I16" s="2"/>
      <c r="J16" s="2"/>
      <c r="K16" s="4" t="s">
        <v>26</v>
      </c>
      <c r="L16" s="2">
        <f t="shared" si="0"/>
        <v>0.66291663022250402</v>
      </c>
    </row>
    <row r="17" spans="1:12" x14ac:dyDescent="0.25">
      <c r="A17" s="2">
        <v>0.28880999500754301</v>
      </c>
      <c r="B17" s="2">
        <v>-9.2707370694478097E-2</v>
      </c>
      <c r="C17" s="2">
        <v>0.12969990897254599</v>
      </c>
      <c r="D17" s="2">
        <v>-0.127070377748005</v>
      </c>
      <c r="E17" s="2"/>
      <c r="F17" s="2"/>
      <c r="G17" s="2"/>
      <c r="H17" s="2"/>
      <c r="I17" s="2"/>
      <c r="J17" s="2"/>
      <c r="K17" s="4" t="s">
        <v>35</v>
      </c>
      <c r="L17" s="2">
        <f t="shared" si="0"/>
        <v>0.28880999500754301</v>
      </c>
    </row>
    <row r="18" spans="1:12" x14ac:dyDescent="0.25">
      <c r="A18" s="2">
        <v>-1.39784271486429E-2</v>
      </c>
      <c r="B18" s="2">
        <v>0.55502632119178497</v>
      </c>
      <c r="C18" s="2">
        <v>0.163424617309361</v>
      </c>
      <c r="D18" s="2">
        <v>1.30775139843511E-2</v>
      </c>
      <c r="E18" s="2"/>
      <c r="F18" s="2"/>
      <c r="G18" s="2"/>
      <c r="H18" s="2"/>
      <c r="I18" s="2"/>
      <c r="J18" s="2"/>
      <c r="K18" s="4" t="s">
        <v>40</v>
      </c>
      <c r="L18" s="2">
        <f t="shared" si="0"/>
        <v>0.55502632119178497</v>
      </c>
    </row>
    <row r="19" spans="1:12" x14ac:dyDescent="0.25">
      <c r="A19" s="2">
        <v>7.9828180259528994E-2</v>
      </c>
      <c r="B19" s="2">
        <v>-0.109983221227532</v>
      </c>
      <c r="C19" s="2">
        <v>0.166279777510458</v>
      </c>
      <c r="D19" s="2">
        <v>-0.216985599773687</v>
      </c>
      <c r="E19" s="2"/>
      <c r="F19" s="2"/>
      <c r="G19" s="2"/>
      <c r="H19" s="2"/>
      <c r="I19" s="2"/>
      <c r="J19" s="2"/>
      <c r="K19" s="4" t="s">
        <v>33</v>
      </c>
      <c r="L19" s="2">
        <f t="shared" si="0"/>
        <v>0.216985599773687</v>
      </c>
    </row>
    <row r="20" spans="1:12" x14ac:dyDescent="0.25">
      <c r="A20" s="2">
        <v>-5.59356069179959E-2</v>
      </c>
      <c r="B20" s="2">
        <v>0.64767476833258097</v>
      </c>
      <c r="C20" s="2">
        <v>5.5180183858761798E-2</v>
      </c>
      <c r="D20" s="2">
        <v>9.8046881885371695E-2</v>
      </c>
      <c r="E20" s="2"/>
      <c r="F20" s="2"/>
      <c r="G20" s="2"/>
      <c r="H20" s="2"/>
      <c r="I20" s="2"/>
      <c r="J20" s="2"/>
      <c r="K20" s="4" t="s">
        <v>27</v>
      </c>
      <c r="L20" s="2">
        <f t="shared" si="0"/>
        <v>0.64767476833258097</v>
      </c>
    </row>
    <row r="21" spans="1:12" x14ac:dyDescent="0.25">
      <c r="A21" s="2">
        <v>0.52082190939474204</v>
      </c>
      <c r="B21" s="2">
        <v>-7.2056375480443094E-2</v>
      </c>
      <c r="C21" s="2">
        <v>7.3045066229353806E-2</v>
      </c>
      <c r="D21" s="2">
        <v>-9.3967699682326405E-2</v>
      </c>
      <c r="E21" s="2"/>
      <c r="F21" s="2"/>
      <c r="G21" s="2"/>
      <c r="H21" s="2"/>
      <c r="I21" s="2"/>
      <c r="J21" s="2"/>
      <c r="K21" s="4" t="s">
        <v>41</v>
      </c>
      <c r="L21" s="2">
        <f t="shared" si="0"/>
        <v>0.52082190939474204</v>
      </c>
    </row>
    <row r="22" spans="1:12" x14ac:dyDescent="0.25">
      <c r="A22" s="2">
        <v>6.9478052453677705E-2</v>
      </c>
      <c r="B22" s="2">
        <v>0.73001113648009497</v>
      </c>
      <c r="C22" s="2">
        <v>-2.99193082523539E-2</v>
      </c>
      <c r="D22" s="2">
        <v>6.3085242803262304E-2</v>
      </c>
      <c r="E22" s="2"/>
      <c r="F22" s="2"/>
      <c r="G22" s="2"/>
      <c r="H22" s="2"/>
      <c r="I22" s="2"/>
      <c r="J22" s="2"/>
      <c r="K22" s="4" t="s">
        <v>42</v>
      </c>
      <c r="L22" s="2">
        <f t="shared" si="0"/>
        <v>0.73001113648009497</v>
      </c>
    </row>
    <row r="23" spans="1:12" x14ac:dyDescent="0.25">
      <c r="A23" s="2">
        <v>3.3431849043676298E-2</v>
      </c>
      <c r="B23" s="2">
        <v>-4.3206241429645798E-2</v>
      </c>
      <c r="C23" s="2">
        <v>0.95929060701625601</v>
      </c>
      <c r="D23" s="2">
        <v>-3.6902905397084998E-3</v>
      </c>
      <c r="E23" s="2"/>
      <c r="F23" s="2"/>
      <c r="G23" s="2"/>
      <c r="H23" s="2"/>
      <c r="I23" s="2"/>
      <c r="J23" s="2"/>
      <c r="K23" s="4" t="s">
        <v>43</v>
      </c>
      <c r="L23" s="2">
        <f t="shared" si="0"/>
        <v>0.95929060701625601</v>
      </c>
    </row>
    <row r="24" spans="1:12" x14ac:dyDescent="0.25">
      <c r="A24" s="2">
        <v>4.7306533494877602E-2</v>
      </c>
      <c r="B24" s="2">
        <v>-1.9105148576827201E-3</v>
      </c>
      <c r="C24" s="2">
        <v>0.83885748589630704</v>
      </c>
      <c r="D24" s="2">
        <v>3.8500218099738699E-2</v>
      </c>
      <c r="E24" s="2"/>
      <c r="F24" s="2"/>
      <c r="G24" s="2"/>
      <c r="H24" s="2"/>
      <c r="I24" s="2"/>
      <c r="J24" s="2"/>
      <c r="K24" s="4" t="s">
        <v>44</v>
      </c>
      <c r="L24" s="2">
        <f t="shared" si="0"/>
        <v>0.83885748589630704</v>
      </c>
    </row>
    <row r="25" spans="1:12" x14ac:dyDescent="0.25">
      <c r="A25" s="2">
        <v>8.0471080284851594E-3</v>
      </c>
      <c r="B25" s="2">
        <v>-5.6728384442806201E-2</v>
      </c>
      <c r="C25" s="2">
        <v>0.93161179293336405</v>
      </c>
      <c r="D25" s="2">
        <v>-5.1420669700247397E-2</v>
      </c>
      <c r="E25" s="2"/>
      <c r="F25" s="2"/>
      <c r="G25" s="2"/>
      <c r="H25" s="2"/>
      <c r="I25" s="2"/>
      <c r="J25" s="2"/>
      <c r="K25" s="4" t="s">
        <v>45</v>
      </c>
      <c r="L25" s="2">
        <f t="shared" si="0"/>
        <v>0.93161179293336405</v>
      </c>
    </row>
    <row r="26" spans="1:12" x14ac:dyDescent="0.25">
      <c r="A26" s="2">
        <v>-2.32645673341366E-2</v>
      </c>
      <c r="B26" s="2">
        <v>-1.24926089598277E-2</v>
      </c>
      <c r="C26" s="2">
        <v>0.52401409070549398</v>
      </c>
      <c r="D26" s="2">
        <v>-0.122698782128059</v>
      </c>
      <c r="E26" s="2"/>
      <c r="F26" s="2"/>
      <c r="G26" s="2"/>
      <c r="H26" s="2"/>
      <c r="I26" s="2"/>
      <c r="J26" s="2"/>
      <c r="K26" s="4" t="s">
        <v>30</v>
      </c>
      <c r="L26" s="2">
        <f t="shared" si="0"/>
        <v>0.52401409070549398</v>
      </c>
    </row>
    <row r="27" spans="1:12" x14ac:dyDescent="0.25">
      <c r="A27" s="2">
        <v>4.8863199567030897E-2</v>
      </c>
      <c r="B27" s="2">
        <v>-4.00995394015453E-2</v>
      </c>
      <c r="C27" s="2">
        <v>0.82222303268921004</v>
      </c>
      <c r="D27" s="2">
        <v>3.22509827947141E-3</v>
      </c>
      <c r="E27" s="2"/>
      <c r="F27" s="2"/>
      <c r="G27" s="2"/>
      <c r="H27" s="2"/>
      <c r="I27" s="2"/>
      <c r="J27" s="2"/>
      <c r="K27" s="4" t="s">
        <v>31</v>
      </c>
      <c r="L27" s="2">
        <f t="shared" si="0"/>
        <v>0.82222303268921004</v>
      </c>
    </row>
    <row r="28" spans="1:12" x14ac:dyDescent="0.25">
      <c r="A28" s="2">
        <v>-0.103633051765054</v>
      </c>
      <c r="B28" s="2">
        <v>0.31725385477328799</v>
      </c>
      <c r="C28" s="2">
        <v>0.75880171376780403</v>
      </c>
      <c r="D28" s="2">
        <v>2.3780777166606398E-2</v>
      </c>
      <c r="E28" s="2"/>
      <c r="F28" s="2"/>
      <c r="G28" s="2"/>
      <c r="H28" s="2"/>
      <c r="I28" s="2"/>
      <c r="J28" s="2"/>
      <c r="K28" s="4" t="s">
        <v>21</v>
      </c>
      <c r="L28" s="2">
        <f t="shared" si="0"/>
        <v>0.75880171376780403</v>
      </c>
    </row>
    <row r="29" spans="1:12" x14ac:dyDescent="0.25">
      <c r="A29" s="2">
        <v>9.9778669816637799E-2</v>
      </c>
      <c r="B29" s="2">
        <v>9.5736773778406697E-2</v>
      </c>
      <c r="C29" s="2">
        <v>0.326953484413262</v>
      </c>
      <c r="D29" s="2">
        <v>-0.21873437878807001</v>
      </c>
      <c r="E29" s="2"/>
      <c r="F29" s="2"/>
      <c r="G29" s="2"/>
      <c r="H29" s="2"/>
      <c r="I29" s="2"/>
      <c r="J29" s="2"/>
      <c r="K29" s="4" t="s">
        <v>46</v>
      </c>
      <c r="L29" s="2">
        <f t="shared" si="0"/>
        <v>0.326953484413262</v>
      </c>
    </row>
    <row r="30" spans="1:12" x14ac:dyDescent="0.25">
      <c r="A30" s="2">
        <v>-0.13862413717910901</v>
      </c>
      <c r="B30" s="2">
        <v>0.58089613275352203</v>
      </c>
      <c r="C30" s="2">
        <v>0.223749194783529</v>
      </c>
      <c r="D30" s="2">
        <v>-3.2057886352862199E-2</v>
      </c>
      <c r="E30" s="2"/>
      <c r="F30" s="2"/>
      <c r="G30" s="2"/>
      <c r="H30" s="2"/>
      <c r="I30" s="2"/>
      <c r="J30" s="2"/>
      <c r="K30" s="4" t="s">
        <v>25</v>
      </c>
      <c r="L30" s="2">
        <f t="shared" si="0"/>
        <v>0.58089613275352203</v>
      </c>
    </row>
    <row r="31" spans="1:12" x14ac:dyDescent="0.25">
      <c r="A31" s="2">
        <v>2.7774671867520501E-2</v>
      </c>
      <c r="B31" s="2">
        <v>9.6449244579550897E-2</v>
      </c>
      <c r="C31" s="2">
        <v>0.44253460196650002</v>
      </c>
      <c r="D31" s="2">
        <v>-0.137488952760246</v>
      </c>
      <c r="E31" s="2"/>
      <c r="F31" s="2"/>
      <c r="G31" s="2"/>
      <c r="H31" s="2"/>
      <c r="I31" s="2"/>
      <c r="J31" s="2"/>
      <c r="K31" s="4" t="s">
        <v>47</v>
      </c>
      <c r="L31" s="2">
        <f t="shared" si="0"/>
        <v>0.44253460196650002</v>
      </c>
    </row>
    <row r="32" spans="1:12" x14ac:dyDescent="0.25">
      <c r="A32" s="2">
        <v>0.34741677161281098</v>
      </c>
      <c r="B32" s="2">
        <v>0.10605496295806301</v>
      </c>
      <c r="C32" s="2">
        <v>0.15109740965874999</v>
      </c>
      <c r="D32" s="2">
        <v>-0.33715212766814501</v>
      </c>
      <c r="E32" s="2"/>
      <c r="F32" s="2"/>
      <c r="G32" s="2"/>
      <c r="H32" s="2"/>
      <c r="I32" s="2"/>
      <c r="J32" s="2"/>
      <c r="K32" s="4" t="s">
        <v>16</v>
      </c>
      <c r="L32" s="2">
        <f t="shared" si="0"/>
        <v>0.34741677161281098</v>
      </c>
    </row>
    <row r="33" spans="1:12" x14ac:dyDescent="0.25">
      <c r="A33" s="2">
        <v>0.22809793714954099</v>
      </c>
      <c r="B33" s="2">
        <v>0.21171300984039099</v>
      </c>
      <c r="C33" s="2">
        <v>0.28289825438551502</v>
      </c>
      <c r="D33" s="2">
        <v>-0.30305685491142897</v>
      </c>
      <c r="E33" s="2"/>
      <c r="F33" s="2"/>
      <c r="G33" s="2"/>
      <c r="H33" s="2"/>
      <c r="I33" s="2"/>
      <c r="J33" s="2"/>
      <c r="K33" s="4" t="s">
        <v>23</v>
      </c>
      <c r="L33" s="2">
        <f t="shared" si="0"/>
        <v>0.30305685491142897</v>
      </c>
    </row>
    <row r="34" spans="1:12" x14ac:dyDescent="0.25">
      <c r="A34" s="2">
        <v>0.16271087538332099</v>
      </c>
      <c r="B34" s="2">
        <v>6.8493295823334702E-2</v>
      </c>
      <c r="C34" s="2">
        <v>8.2017893913822096E-2</v>
      </c>
      <c r="D34" s="2">
        <v>-0.45855634096382297</v>
      </c>
      <c r="E34" s="2"/>
      <c r="F34" s="2"/>
      <c r="G34" s="2"/>
      <c r="H34" s="2"/>
      <c r="I34" s="2"/>
      <c r="J34" s="2"/>
      <c r="K34" s="4" t="s">
        <v>48</v>
      </c>
      <c r="L34" s="2">
        <f t="shared" si="0"/>
        <v>0.45855634096382297</v>
      </c>
    </row>
    <row r="35" spans="1:12" x14ac:dyDescent="0.25">
      <c r="A35" s="2">
        <v>-5.76620545137249E-2</v>
      </c>
      <c r="B35" s="2">
        <v>0.48083014264992002</v>
      </c>
      <c r="C35" s="2">
        <v>-7.7816770617032599E-2</v>
      </c>
      <c r="D35" s="2">
        <v>-0.20224318157236501</v>
      </c>
      <c r="E35" s="2"/>
      <c r="F35" s="2"/>
      <c r="G35" s="2"/>
      <c r="H35" s="2"/>
      <c r="I35" s="2"/>
      <c r="J35" s="2"/>
      <c r="K35" s="4" t="s">
        <v>49</v>
      </c>
      <c r="L35" s="2">
        <f t="shared" si="0"/>
        <v>0.48083014264992002</v>
      </c>
    </row>
    <row r="36" spans="1:12" x14ac:dyDescent="0.25">
      <c r="A36" s="2">
        <v>0.124605760434818</v>
      </c>
      <c r="B36" s="2">
        <v>1.05491999364712E-2</v>
      </c>
      <c r="C36" s="2">
        <v>4.8049033673277397E-2</v>
      </c>
      <c r="D36" s="2">
        <v>-0.764518735097376</v>
      </c>
      <c r="E36" s="2"/>
      <c r="F36" s="2"/>
      <c r="G36" s="2"/>
      <c r="H36" s="2"/>
      <c r="I36" s="2"/>
      <c r="J36" s="2"/>
      <c r="K36" s="4" t="s">
        <v>36</v>
      </c>
      <c r="L36" s="2">
        <f t="shared" si="0"/>
        <v>0.764518735097376</v>
      </c>
    </row>
    <row r="37" spans="1:12" x14ac:dyDescent="0.25">
      <c r="A37" s="2">
        <v>0.13442331268646401</v>
      </c>
      <c r="B37" s="2">
        <v>2.8608493161350599E-3</v>
      </c>
      <c r="C37" s="2">
        <v>-4.20750957036626E-2</v>
      </c>
      <c r="D37" s="2">
        <v>-0.64372422021278197</v>
      </c>
      <c r="E37" s="2"/>
      <c r="F37" s="2"/>
      <c r="G37" s="2"/>
      <c r="H37" s="2"/>
      <c r="I37" s="2"/>
      <c r="J37" s="2"/>
      <c r="K37" s="4" t="s">
        <v>50</v>
      </c>
      <c r="L37" s="2">
        <f t="shared" si="0"/>
        <v>0.64372422021278197</v>
      </c>
    </row>
    <row r="38" spans="1:12" x14ac:dyDescent="0.25">
      <c r="A38" s="2">
        <v>1.85310519511604E-2</v>
      </c>
      <c r="B38" s="2">
        <v>-8.4657669271779295E-3</v>
      </c>
      <c r="C38" s="2">
        <v>-6.5776209298857094E-2</v>
      </c>
      <c r="D38" s="2">
        <v>-0.90789393825867604</v>
      </c>
      <c r="E38" s="2"/>
      <c r="F38" s="2"/>
      <c r="G38" s="2"/>
      <c r="H38" s="2"/>
      <c r="I38" s="2"/>
      <c r="J38" s="2"/>
      <c r="K38" s="4" t="s">
        <v>51</v>
      </c>
      <c r="L38" s="2">
        <f t="shared" si="0"/>
        <v>0.90789393825867604</v>
      </c>
    </row>
    <row r="39" spans="1:12" x14ac:dyDescent="0.25">
      <c r="A39" s="2">
        <v>-0.10786527870399699</v>
      </c>
      <c r="B39" s="2">
        <v>-5.63583432083479E-2</v>
      </c>
      <c r="C39" s="2">
        <v>4.47737371239239E-2</v>
      </c>
      <c r="D39" s="2">
        <v>-0.90065978237092703</v>
      </c>
      <c r="E39" s="2"/>
      <c r="F39" s="2"/>
      <c r="G39" s="2"/>
      <c r="H39" s="2"/>
      <c r="I39" s="2"/>
      <c r="J39" s="2"/>
      <c r="K39" s="4" t="s">
        <v>20</v>
      </c>
      <c r="L39" s="2">
        <f t="shared" si="0"/>
        <v>0.90065978237092703</v>
      </c>
    </row>
    <row r="40" spans="1:12" x14ac:dyDescent="0.25">
      <c r="A40" s="2">
        <v>-4.1152888516667901E-2</v>
      </c>
      <c r="B40" s="2">
        <v>-1.24946429011412E-2</v>
      </c>
      <c r="C40" s="2">
        <v>-2.48377049435889E-2</v>
      </c>
      <c r="D40" s="2">
        <v>-0.93437585282402802</v>
      </c>
      <c r="E40" s="2"/>
      <c r="F40" s="2"/>
      <c r="G40" s="2"/>
      <c r="H40" s="2"/>
      <c r="I40" s="2"/>
      <c r="J40" s="2"/>
      <c r="K40" s="4" t="s">
        <v>52</v>
      </c>
      <c r="L40" s="2">
        <f t="shared" si="0"/>
        <v>0.93437585282402802</v>
      </c>
    </row>
    <row r="41" spans="1:12" x14ac:dyDescent="0.25">
      <c r="A41" s="2">
        <v>0.214383217216365</v>
      </c>
      <c r="B41" s="2">
        <v>0.46823107414364101</v>
      </c>
      <c r="C41" s="2">
        <v>2.3434288307613402E-3</v>
      </c>
      <c r="D41" s="2">
        <v>-0.15173177245427</v>
      </c>
      <c r="E41" s="2"/>
      <c r="F41" s="2"/>
      <c r="G41" s="2"/>
      <c r="H41" s="2"/>
      <c r="I41" s="2"/>
      <c r="J41" s="2"/>
      <c r="K41" s="4" t="s">
        <v>53</v>
      </c>
      <c r="L41" s="2">
        <f t="shared" si="0"/>
        <v>0.46823107414364101</v>
      </c>
    </row>
    <row r="42" spans="1:12" x14ac:dyDescent="0.25">
      <c r="A42" s="2">
        <v>8.9308289497519497E-2</v>
      </c>
      <c r="B42" s="2">
        <v>0.45710260756730098</v>
      </c>
      <c r="C42" s="2">
        <v>0.28302828672231201</v>
      </c>
      <c r="D42" s="2">
        <v>-0.113308756129416</v>
      </c>
      <c r="E42" s="2"/>
      <c r="F42" s="2"/>
      <c r="G42" s="2"/>
      <c r="H42" s="2"/>
      <c r="I42" s="2"/>
      <c r="J42" s="2"/>
      <c r="K42" s="4" t="s">
        <v>54</v>
      </c>
      <c r="L42" s="2">
        <f t="shared" si="0"/>
        <v>0.45710260756730098</v>
      </c>
    </row>
    <row r="43" spans="1:12" x14ac:dyDescent="0.25">
      <c r="A43" s="2">
        <v>2.3292638251373499E-2</v>
      </c>
      <c r="B43" s="2">
        <v>0.64612725659391501</v>
      </c>
      <c r="C43" s="2">
        <v>-8.5956620822815605E-2</v>
      </c>
      <c r="D43" s="2">
        <v>1.6663895633813999E-2</v>
      </c>
      <c r="E43" s="2"/>
      <c r="F43" s="2"/>
      <c r="G43" s="2"/>
      <c r="H43" s="2"/>
      <c r="I43" s="2"/>
      <c r="J43" s="2"/>
      <c r="K43" s="4" t="s">
        <v>29</v>
      </c>
      <c r="L43" s="2">
        <f t="shared" si="0"/>
        <v>0.64612725659391501</v>
      </c>
    </row>
    <row r="44" spans="1:12" x14ac:dyDescent="0.25">
      <c r="A44" s="2">
        <v>7.0514169864773102E-2</v>
      </c>
      <c r="B44" s="2">
        <v>0.60615776791105103</v>
      </c>
      <c r="C44" s="2">
        <v>-4.0006446032823301E-2</v>
      </c>
      <c r="D44" s="2">
        <v>-0.13336744505880199</v>
      </c>
      <c r="E44" s="2"/>
      <c r="F44" s="2"/>
      <c r="G44" s="2"/>
      <c r="H44" s="2"/>
      <c r="I44" s="2"/>
      <c r="J44" s="2"/>
      <c r="K44" s="4" t="s">
        <v>55</v>
      </c>
      <c r="L44" s="2">
        <f t="shared" si="0"/>
        <v>0.60615776791105103</v>
      </c>
    </row>
    <row r="45" spans="1:12" x14ac:dyDescent="0.25">
      <c r="A45" s="2">
        <v>-1.29386432557827E-2</v>
      </c>
      <c r="B45" s="2">
        <v>0.63403110838785204</v>
      </c>
      <c r="C45" s="2">
        <v>-6.1374637419141703E-2</v>
      </c>
      <c r="D45" s="2">
        <v>-3.1726581865077999E-2</v>
      </c>
      <c r="E45" s="2"/>
      <c r="F45" s="2"/>
      <c r="G45" s="2"/>
      <c r="H45" s="2"/>
      <c r="I45" s="2"/>
      <c r="J45" s="2"/>
      <c r="K45" s="4" t="s">
        <v>56</v>
      </c>
      <c r="L45" s="2">
        <f t="shared" si="0"/>
        <v>0.63403110838785204</v>
      </c>
    </row>
    <row r="46" spans="1:12" x14ac:dyDescent="0.25">
      <c r="A46" s="2">
        <v>6.7961718982633298E-2</v>
      </c>
      <c r="B46" s="2">
        <v>0.25437613853169599</v>
      </c>
      <c r="C46" s="2">
        <v>0.198767791913495</v>
      </c>
      <c r="D46" s="2">
        <v>-0.35189978552620299</v>
      </c>
      <c r="E46" s="2"/>
      <c r="F46" s="2"/>
      <c r="G46" s="2"/>
      <c r="H46" s="2"/>
      <c r="I46" s="2"/>
      <c r="J46" s="2"/>
      <c r="K46" s="4" t="s">
        <v>57</v>
      </c>
      <c r="L46" s="2">
        <f t="shared" si="0"/>
        <v>0.35189978552620299</v>
      </c>
    </row>
    <row r="47" spans="1:12" x14ac:dyDescent="0.25">
      <c r="A47" s="2">
        <v>0.27637647211844801</v>
      </c>
      <c r="B47" s="2">
        <v>0.23655930545681</v>
      </c>
      <c r="C47" s="2">
        <v>4.8671728644145103E-2</v>
      </c>
      <c r="D47" s="2">
        <v>-0.39383102369675099</v>
      </c>
      <c r="E47" s="2"/>
      <c r="F47" s="2"/>
      <c r="G47" s="2"/>
      <c r="H47" s="2"/>
      <c r="I47" s="2"/>
      <c r="J47" s="2"/>
      <c r="K47" s="4" t="s">
        <v>58</v>
      </c>
      <c r="L47" s="2">
        <f t="shared" si="0"/>
        <v>0.39383102369675099</v>
      </c>
    </row>
    <row r="48" spans="1:12" x14ac:dyDescent="0.25">
      <c r="A48" s="2">
        <v>-7.7935260447504304E-2</v>
      </c>
      <c r="B48" s="2">
        <v>-8.1000199414344703E-3</v>
      </c>
      <c r="C48" s="2">
        <v>0.13172608451335999</v>
      </c>
      <c r="D48" s="2">
        <v>-0.73102706944761497</v>
      </c>
      <c r="E48" s="2"/>
      <c r="F48" s="2"/>
      <c r="G48" s="2"/>
      <c r="H48" s="2"/>
      <c r="I48" s="2"/>
      <c r="J48" s="2"/>
      <c r="K48" s="4" t="s">
        <v>32</v>
      </c>
      <c r="L48" s="2">
        <f t="shared" si="0"/>
        <v>0.73102706944761497</v>
      </c>
    </row>
    <row r="49" spans="1:12" x14ac:dyDescent="0.25">
      <c r="A49" s="2">
        <v>7.3094564123198799E-2</v>
      </c>
      <c r="B49" s="2">
        <v>0.67247334114540402</v>
      </c>
      <c r="C49" s="2">
        <v>-0.16572982908937001</v>
      </c>
      <c r="D49" s="2">
        <v>3.4628239946956803E-2</v>
      </c>
      <c r="E49" s="2"/>
      <c r="F49" s="2"/>
      <c r="G49" s="2"/>
      <c r="H49" s="2"/>
      <c r="I49" s="2"/>
      <c r="J49" s="2"/>
      <c r="K49" s="4" t="s">
        <v>59</v>
      </c>
      <c r="L49" s="2">
        <f t="shared" si="0"/>
        <v>0.67247334114540402</v>
      </c>
    </row>
    <row r="50" spans="1:12" x14ac:dyDescent="0.25">
      <c r="A50" s="2">
        <v>0.23970229452502101</v>
      </c>
      <c r="B50" s="2">
        <v>9.6977447628393096E-2</v>
      </c>
      <c r="C50" s="2">
        <v>0.129091351068191</v>
      </c>
      <c r="D50" s="2">
        <v>-0.20667642235736999</v>
      </c>
      <c r="E50" s="2"/>
      <c r="F50" s="2"/>
      <c r="G50" s="2"/>
      <c r="H50" s="2"/>
      <c r="I50" s="2"/>
      <c r="J50" s="2"/>
      <c r="K50" s="4" t="s">
        <v>60</v>
      </c>
      <c r="L50" s="2">
        <f t="shared" si="0"/>
        <v>0.23970229452502101</v>
      </c>
    </row>
  </sheetData>
  <conditionalFormatting sqref="L2:L50">
    <cfRule type="cellIs" dxfId="5" priority="3" operator="lessThan">
      <formula>$O$2</formula>
    </cfRule>
  </conditionalFormatting>
  <conditionalFormatting sqref="A2:J50">
    <cfRule type="cellIs" dxfId="3" priority="1" operator="lessThan">
      <formula>$O$4</formula>
    </cfRule>
    <cfRule type="cellIs" dxfId="2" priority="2" operator="greaterThan">
      <formula>$O$3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oblimin</vt:lpstr>
      <vt:lpstr>oblimin-10</vt:lpstr>
      <vt:lpstr>oblimin-9</vt:lpstr>
      <vt:lpstr>oblimin-8</vt:lpstr>
      <vt:lpstr>oblimin-7</vt:lpstr>
      <vt:lpstr>oblimin-6</vt:lpstr>
      <vt:lpstr>oblimin-5</vt:lpstr>
      <vt:lpstr>oblimin-4</vt:lpstr>
      <vt:lpstr>oblimin!oblimin_10</vt:lpstr>
      <vt:lpstr>'oblimin-10'!oblimin_10</vt:lpstr>
      <vt:lpstr>'oblimin-4'!oblimin_10</vt:lpstr>
      <vt:lpstr>'oblimin-5'!oblimin_10</vt:lpstr>
      <vt:lpstr>'oblimin-6'!oblimin_10</vt:lpstr>
      <vt:lpstr>'oblimin-7'!oblimin_10</vt:lpstr>
      <vt:lpstr>'oblimin-8'!oblimin_10</vt:lpstr>
      <vt:lpstr>'oblimin-9'!oblimin_10</vt:lpstr>
    </vt:vector>
  </TitlesOfParts>
  <Company>University of Victoria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Koval</dc:creator>
  <cp:lastModifiedBy>Andrey Koval</cp:lastModifiedBy>
  <dcterms:created xsi:type="dcterms:W3CDTF">2016-07-29T21:02:32Z</dcterms:created>
  <dcterms:modified xsi:type="dcterms:W3CDTF">2016-07-29T22:17:02Z</dcterms:modified>
</cp:coreProperties>
</file>